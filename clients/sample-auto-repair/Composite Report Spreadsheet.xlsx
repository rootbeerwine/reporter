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j1je\Documents\composite reporting\"/>
    </mc:Choice>
  </mc:AlternateContent>
  <xr:revisionPtr revIDLastSave="0" documentId="13_ncr:1_{F3C91D57-BE53-44A7-8024-1FF10CF74ABA}" xr6:coauthVersionLast="47" xr6:coauthVersionMax="47" xr10:uidLastSave="{00000000-0000-0000-0000-000000000000}"/>
  <bookViews>
    <workbookView xWindow="2964" yWindow="2964" windowWidth="14400" windowHeight="7476" xr2:uid="{00000000-000D-0000-FFFF-FFFF00000000}"/>
  </bookViews>
  <sheets>
    <sheet name="New Composite Work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lfw3NrNrxiRzegmxnqTa0Xh4cQrwz1L2or+o5QY39M="/>
    </ext>
  </extLst>
</workbook>
</file>

<file path=xl/calcChain.xml><?xml version="1.0" encoding="utf-8"?>
<calcChain xmlns="http://schemas.openxmlformats.org/spreadsheetml/2006/main">
  <c r="B96" i="1" l="1"/>
  <c r="B97" i="1" s="1"/>
  <c r="B98" i="1" s="1"/>
  <c r="D92" i="1"/>
  <c r="G88" i="1"/>
  <c r="G95" i="1" s="1"/>
  <c r="D87" i="1"/>
  <c r="D78" i="1"/>
  <c r="D76" i="1"/>
  <c r="D75" i="1"/>
  <c r="D74" i="1"/>
  <c r="D73" i="1"/>
  <c r="D72" i="1"/>
  <c r="D71" i="1"/>
  <c r="D68" i="1"/>
  <c r="G92" i="1" s="1"/>
  <c r="D57" i="1"/>
  <c r="E50" i="1"/>
  <c r="E51" i="1" s="1"/>
  <c r="E52" i="1" s="1"/>
  <c r="E53" i="1" s="1"/>
  <c r="E54" i="1" s="1"/>
  <c r="E55" i="1" s="1"/>
  <c r="E56" i="1" s="1"/>
  <c r="E57" i="1" s="1"/>
  <c r="E58" i="1" s="1"/>
  <c r="E59" i="1" s="1"/>
  <c r="E60" i="1" s="1"/>
  <c r="E61" i="1" s="1"/>
  <c r="E62" i="1" s="1"/>
  <c r="E63" i="1" s="1"/>
  <c r="E64" i="1" s="1"/>
  <c r="E65" i="1" s="1"/>
  <c r="E66" i="1" s="1"/>
  <c r="E67" i="1" s="1"/>
  <c r="E68" i="1" s="1"/>
  <c r="E69" i="1" s="1"/>
  <c r="E70" i="1" s="1"/>
  <c r="E71" i="1" s="1"/>
  <c r="E72" i="1" s="1"/>
  <c r="E73" i="1" s="1"/>
  <c r="E74" i="1" s="1"/>
  <c r="E75" i="1" s="1"/>
  <c r="E76" i="1" s="1"/>
  <c r="E77" i="1" s="1"/>
  <c r="E78" i="1" s="1"/>
  <c r="E79" i="1" s="1"/>
  <c r="E80" i="1" s="1"/>
  <c r="E81" i="1" s="1"/>
  <c r="E82" i="1" s="1"/>
  <c r="E83" i="1" s="1"/>
  <c r="E84" i="1" s="1"/>
  <c r="E85" i="1" s="1"/>
  <c r="E86" i="1" s="1"/>
  <c r="E87" i="1" s="1"/>
  <c r="E88" i="1" s="1"/>
  <c r="E91" i="1" s="1"/>
  <c r="E92" i="1" s="1"/>
  <c r="E93" i="1" s="1"/>
  <c r="E94" i="1" s="1"/>
  <c r="E95" i="1" s="1"/>
  <c r="E96" i="1" s="1"/>
  <c r="E97" i="1" s="1"/>
  <c r="E98" i="1" s="1"/>
  <c r="G46" i="1"/>
  <c r="D46" i="1"/>
  <c r="D40" i="1"/>
  <c r="G2" i="1" s="1"/>
  <c r="G28" i="1"/>
  <c r="D23" i="1"/>
  <c r="D15" i="1"/>
  <c r="D25" i="1" s="1"/>
  <c r="G13" i="1"/>
  <c r="B2" i="1"/>
  <c r="B3" i="1" s="1"/>
  <c r="B4" i="1" s="1"/>
  <c r="B5" i="1" s="1"/>
  <c r="B6" i="1" s="1"/>
  <c r="B7" i="1" s="1"/>
  <c r="B8" i="1" s="1"/>
  <c r="B9" i="1" s="1"/>
  <c r="B10" i="1" s="1"/>
  <c r="B11" i="1" s="1"/>
  <c r="B12" i="1" s="1"/>
  <c r="B13" i="1" s="1"/>
  <c r="B14" i="1" s="1"/>
  <c r="B15" i="1" s="1"/>
  <c r="B18" i="1" s="1"/>
  <c r="B19" i="1" s="1"/>
  <c r="B20" i="1" s="1"/>
  <c r="B21" i="1" s="1"/>
  <c r="B22" i="1" s="1"/>
  <c r="B23" i="1" s="1"/>
  <c r="B25" i="1" s="1"/>
  <c r="B28" i="1" s="1"/>
  <c r="B29" i="1" s="1"/>
  <c r="B30" i="1" s="1"/>
  <c r="B31" i="1" s="1"/>
  <c r="B32" i="1" s="1"/>
  <c r="B33" i="1" s="1"/>
  <c r="B34" i="1" s="1"/>
  <c r="B35" i="1" s="1"/>
  <c r="B36" i="1" s="1"/>
  <c r="B37" i="1" s="1"/>
  <c r="B38" i="1" s="1"/>
  <c r="B39" i="1" s="1"/>
  <c r="B40" i="1" s="1"/>
  <c r="B43" i="1" s="1"/>
  <c r="B44" i="1" s="1"/>
  <c r="B45" i="1" s="1"/>
  <c r="B46" i="1" s="1"/>
  <c r="E2" i="1" s="1"/>
  <c r="E4" i="1" s="1"/>
  <c r="E6" i="1" s="1"/>
  <c r="E9" i="1" s="1"/>
  <c r="E10" i="1" s="1"/>
  <c r="E11" i="1" s="1"/>
  <c r="E12" i="1" s="1"/>
  <c r="E13" i="1" s="1"/>
  <c r="E14" i="1" s="1"/>
  <c r="E15" i="1" s="1"/>
  <c r="E18" i="1" s="1"/>
  <c r="E19" i="1" s="1"/>
  <c r="E20" i="1" s="1"/>
  <c r="E21" i="1" s="1"/>
  <c r="E22" i="1" s="1"/>
  <c r="E23" i="1" s="1"/>
  <c r="E24" i="1" s="1"/>
  <c r="E25" i="1" s="1"/>
  <c r="E26" i="1" s="1"/>
  <c r="E27" i="1" s="1"/>
  <c r="E28" i="1" s="1"/>
  <c r="E31" i="1" s="1"/>
  <c r="E32" i="1" s="1"/>
  <c r="E33" i="1" s="1"/>
  <c r="E35" i="1" s="1"/>
  <c r="E37" i="1" s="1"/>
  <c r="E39" i="1" s="1"/>
  <c r="E42" i="1" s="1"/>
  <c r="E43" i="1" s="1"/>
  <c r="E44" i="1" s="1"/>
  <c r="E45" i="1" s="1"/>
  <c r="E46" i="1" s="1"/>
  <c r="B49" i="1" s="1"/>
  <c r="B50" i="1" s="1"/>
  <c r="B51" i="1" s="1"/>
  <c r="B52" i="1" s="1"/>
  <c r="B53" i="1" s="1"/>
  <c r="B54" i="1" s="1"/>
  <c r="B55" i="1" s="1"/>
  <c r="B56" i="1" s="1"/>
  <c r="B57" i="1" s="1"/>
  <c r="B60" i="1" s="1"/>
  <c r="B61" i="1" s="1"/>
  <c r="B62" i="1" s="1"/>
  <c r="B63" i="1" s="1"/>
  <c r="B64" i="1" s="1"/>
  <c r="B65" i="1" s="1"/>
  <c r="B66" i="1" s="1"/>
  <c r="B67" i="1" s="1"/>
  <c r="B68" i="1" s="1"/>
  <c r="B71" i="1" s="1"/>
  <c r="B72" i="1" s="1"/>
  <c r="B73" i="1" s="1"/>
  <c r="B74" i="1" s="1"/>
  <c r="B75" i="1" s="1"/>
  <c r="B76" i="1" s="1"/>
  <c r="B77" i="1" s="1"/>
  <c r="B78" i="1" s="1"/>
  <c r="B79" i="1" s="1"/>
  <c r="B82" i="1" s="1"/>
  <c r="B83" i="1" s="1"/>
  <c r="B84" i="1" s="1"/>
  <c r="B85" i="1" s="1"/>
  <c r="B86" i="1" s="1"/>
  <c r="B87" i="1" s="1"/>
  <c r="B90" i="1" s="1"/>
  <c r="B91" i="1" s="1"/>
  <c r="B92" i="1" s="1"/>
  <c r="G97" i="1" l="1"/>
  <c r="D79" i="1"/>
  <c r="G4" i="1"/>
  <c r="G6" i="1" s="1"/>
  <c r="G93" i="1"/>
  <c r="G96" i="1" s="1"/>
  <c r="G91" i="1"/>
  <c r="G9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80000000}">
      <text>
        <r>
          <rPr>
            <sz val="10"/>
            <color rgb="FF000000"/>
            <rFont val="Arimo"/>
            <scheme val="minor"/>
          </rPr>
          <t>======
ID#AAABXbiK1YQ
    (2024-11-06 19:24:57)
Overview: These figures will be found on your Balance Sheet.</t>
        </r>
      </text>
    </comment>
    <comment ref="C2" authorId="0" shapeId="0" xr:uid="{00000000-0006-0000-0000-00003D000000}">
      <text>
        <r>
          <rPr>
            <sz val="10"/>
            <color rgb="FF000000"/>
            <rFont val="Arimo"/>
            <scheme val="minor"/>
          </rPr>
          <t>======
ID#AAABXbpZQPM
    (2024-11-06 19:24:58)
Cash on Hand- Enter all on-hand cash that belongs to the business. Include all monies in the register that have not been deposited as of the time you closed the month, and the balance in your Petty Cash Drawer.</t>
        </r>
      </text>
    </comment>
    <comment ref="F2" authorId="0" shapeId="0" xr:uid="{00000000-0006-0000-0000-000063000000}">
      <text>
        <r>
          <rPr>
            <sz val="10"/>
            <color rgb="FF000000"/>
            <rFont val="Arimo"/>
            <scheme val="minor"/>
          </rPr>
          <t>======
ID#AAABXbpZQM0
    (2024-11-06 19:24:57)
Total Current &amp; Long Term Liabilities - When reporting via the internet, this is an automatic calculation field, totaling Lines 34 and 38. If reporting manually, enter the total here.</t>
        </r>
      </text>
    </comment>
    <comment ref="C3" authorId="0" shapeId="0" xr:uid="{00000000-0006-0000-0000-000075000000}">
      <text>
        <r>
          <rPr>
            <sz val="10"/>
            <color rgb="FF000000"/>
            <rFont val="Arimo"/>
            <scheme val="minor"/>
          </rPr>
          <t>======
ID#AAABXbpZQLw
    (2024-11-06 19:24:57)
Cash in Banks- Enter the sum of all monies that belong to the business that you have in banks. This includes savings and money market accounts, as well as the business checking account.</t>
        </r>
      </text>
    </comment>
    <comment ref="C4" authorId="0" shapeId="0" xr:uid="{00000000-0006-0000-0000-000088000000}">
      <text>
        <r>
          <rPr>
            <sz val="10"/>
            <color rgb="FF000000"/>
            <rFont val="Arimo"/>
            <scheme val="minor"/>
          </rPr>
          <t>======
ID#AAABXbiK1Xw
    (2024-11-06 19:24:57)
Accounts Receivable - Trade - Enter the sum of all account receivables owed to the business by customers. (NOTE: Do not include accounts receivable due from employees.)</t>
        </r>
      </text>
    </comment>
    <comment ref="F4" authorId="0" shapeId="0" xr:uid="{00000000-0006-0000-0000-00008E000000}">
      <text>
        <r>
          <rPr>
            <sz val="10"/>
            <color rgb="FF000000"/>
            <rFont val="Arimo"/>
            <scheme val="minor"/>
          </rPr>
          <t>======
ID#AAABXbiK1XY
    (2024-11-06 19:24:57)
Total Equity - When reporting via the internet, this is an automatic calculation field, returning the difference of Line 21 minus Line 39. If reporting manually, enter the total here.</t>
        </r>
      </text>
    </comment>
    <comment ref="C5" authorId="0" shapeId="0" xr:uid="{00000000-0006-0000-0000-000090000000}">
      <text>
        <r>
          <rPr>
            <sz val="10"/>
            <color rgb="FF000000"/>
            <rFont val="Arimo"/>
            <scheme val="minor"/>
          </rPr>
          <t>======
ID#AAABXbiK1XQ
    (2024-11-06 19:24:57)
Allowances - Bad Debts - Enter the monthly allowance for bad debts that you have forecasted for the year.</t>
        </r>
      </text>
    </comment>
    <comment ref="C6" authorId="0" shapeId="0" xr:uid="{00000000-0006-0000-0000-000055000000}">
      <text>
        <r>
          <rPr>
            <sz val="10"/>
            <color rgb="FF000000"/>
            <rFont val="Arimo"/>
            <scheme val="minor"/>
          </rPr>
          <t>======
ID#AAABXbpZQNs
    (2024-11-06 19:24:57)
Prepaid Expenses - Enter the sum of all prepaid expenses such as insurance, etc.</t>
        </r>
      </text>
    </comment>
    <comment ref="F6" authorId="0" shapeId="0" xr:uid="{00000000-0006-0000-0000-000072000000}">
      <text>
        <r>
          <rPr>
            <sz val="10"/>
            <color rgb="FF000000"/>
            <rFont val="Arimo"/>
            <scheme val="minor"/>
          </rPr>
          <t>======
ID#AAABXbpZQL4
    (2024-11-06 19:24:57)
Total Current &amp; Long Term Liabilities &amp; Equity - When reporting via the Internet, this is an automatic calculation field, returning the sum of Lines 39 and 40. If reporting manually, enter the total here. (NOTE: This figure should be exactly the same as the figure shown on Line 21.)</t>
        </r>
      </text>
    </comment>
    <comment ref="C7" authorId="0" shapeId="0" xr:uid="{00000000-0006-0000-0000-00001C000000}">
      <text>
        <r>
          <rPr>
            <sz val="10"/>
            <color rgb="FF000000"/>
            <rFont val="Arimo"/>
            <scheme val="minor"/>
          </rPr>
          <t>======
ID#AAABXbpZQRQ
    (2024-11-06 19:24:58)
Deposits - Enter the sum of all deposits made toward rent, utilities, estimated taxes, etc.</t>
        </r>
      </text>
    </comment>
    <comment ref="C8" authorId="0" shapeId="0" xr:uid="{00000000-0006-0000-0000-000049000000}">
      <text>
        <r>
          <rPr>
            <sz val="10"/>
            <color rgb="FF000000"/>
            <rFont val="Arimo"/>
            <scheme val="minor"/>
          </rPr>
          <t>======
ID#AAABXbpZQOc
    (2024-11-06 19:24:57)
Payroll Advances/Bonuses - Enter the sum of all advances and bonuses that have been paid to employees prior to the next payroll.</t>
        </r>
      </text>
    </comment>
    <comment ref="F8" authorId="0" shapeId="0" xr:uid="{00000000-0006-0000-0000-000002000000}">
      <text>
        <r>
          <rPr>
            <sz val="10"/>
            <color rgb="FF000000"/>
            <rFont val="Arimo"/>
            <scheme val="minor"/>
          </rPr>
          <t>======
ID#AAABXbpZQS4
    (2024-11-06 19:24:58)
Overview: This information can be acquired by taking inside measurements of all areas of your building. Be certain to include mezzanines into each applicable area (parts, sho,etc.)</t>
        </r>
      </text>
    </comment>
    <comment ref="C9" authorId="0" shapeId="0" xr:uid="{00000000-0006-0000-0000-000074000000}">
      <text>
        <r>
          <rPr>
            <sz val="10"/>
            <color rgb="FF000000"/>
            <rFont val="Arimo"/>
            <scheme val="minor"/>
          </rPr>
          <t>======
ID#AAABXbpZQLs
    (2024-11-06 19:24:57)
Inventory - Parts - Enter the sum of your current inventory at cost. This would include all parts, new and used, and all shop supplies (nuts, bolts, carb cleaner, etc) that have been purchased for resale. Usage (Beginning Balance, Ending Balance, Balance Usage.)</t>
        </r>
      </text>
    </comment>
    <comment ref="F9" authorId="0" shapeId="0" xr:uid="{00000000-0006-0000-0000-00003E000000}">
      <text>
        <r>
          <rPr>
            <sz val="10"/>
            <color rgb="FF000000"/>
            <rFont val="Arimo"/>
            <scheme val="minor"/>
          </rPr>
          <t>======
ID#AAABXbpZQPI
    (2024-11-06 19:24:58)
Total Square Footage - Parts Dept. - Enter the total inside square footage of the building space dedicated to parts storage, including shipping and receiving. 
(NOTE: Do not include wall space utilized to hold parts.)</t>
        </r>
      </text>
    </comment>
    <comment ref="C10" authorId="0" shapeId="0" xr:uid="{00000000-0006-0000-0000-000071000000}">
      <text>
        <r>
          <rPr>
            <sz val="10"/>
            <color rgb="FF000000"/>
            <rFont val="Arimo"/>
            <scheme val="minor"/>
          </rPr>
          <t>======
ID#AAABXbpZQL8
    (2024-11-06 19:24:57)
Work-in-Process - Parts - Enter the sum of all parts, at cost, that have been charged to repair orders which have not been closed out. 
(NOTE:This does not include repair orders that have been closed out and either charged to a customer’s account or are awaiting customer pickup).</t>
        </r>
      </text>
    </comment>
    <comment ref="F10" authorId="0" shapeId="0" xr:uid="{00000000-0006-0000-0000-000094000000}">
      <text>
        <r>
          <rPr>
            <sz val="10"/>
            <color rgb="FF000000"/>
            <rFont val="Arimo"/>
            <scheme val="minor"/>
          </rPr>
          <t>======
ID#AAABXbiK1XA
    (2024-11-06 19:24:57)
Total Square Footage - Shop - Enter the total inside square footage of the building space dedicated to the repairing of vehicles, storage of equipment  that is currently in use, work benches, and inside waste storage.</t>
        </r>
      </text>
    </comment>
    <comment ref="C11" authorId="0" shapeId="0" xr:uid="{00000000-0006-0000-0000-000098000000}">
      <text>
        <r>
          <rPr>
            <sz val="10"/>
            <color rgb="FF000000"/>
            <rFont val="Arimo"/>
            <scheme val="minor"/>
          </rPr>
          <t>======
ID#AAABXbiK1Ww
    (2024-11-06 19:24:57)
Work-in-Process - Labor - Enter the sum of all labor, at cost, that have been charged to repair orders which have not been closed out. 
(NOTE:This does not include repair orders that have been closed out and either charged to a customer’s account or are awaiting customer pickup).</t>
        </r>
      </text>
    </comment>
    <comment ref="F11" authorId="0" shapeId="0" xr:uid="{00000000-0006-0000-0000-000023000000}">
      <text>
        <r>
          <rPr>
            <sz val="10"/>
            <color rgb="FF000000"/>
            <rFont val="Arimo"/>
            <scheme val="minor"/>
          </rPr>
          <t>======
ID#AAABXbpZQQ0
    (2024-11-06 19:24:58)
Total Square Footage - Offices - Enter the total inside square footage of the building space devoted to administrative offices, customer receiving and waiting areas, write-up areas, restrooms and display areas.</t>
        </r>
      </text>
    </comment>
    <comment ref="C12" authorId="0" shapeId="0" xr:uid="{00000000-0006-0000-0000-000092000000}">
      <text>
        <r>
          <rPr>
            <sz val="10"/>
            <color rgb="FF000000"/>
            <rFont val="Arimo"/>
            <scheme val="minor"/>
          </rPr>
          <t>======
ID#AAABXbiK1XI
    (2024-11-06 19:24:57)
Work-in-Process - Sublet - Enter the sum of all sublet repairs, at cost, that have been charged to repair orders, which have not been closed out.
(NOTE:This does not include repair orders that have been closed out and either charged to a customer’s account or are awaiting customer pickup).</t>
        </r>
      </text>
    </comment>
    <comment ref="F12" authorId="0" shapeId="0" xr:uid="{00000000-0006-0000-0000-0000AD000000}">
      <text>
        <r>
          <rPr>
            <sz val="10"/>
            <color rgb="FF000000"/>
            <rFont val="Arimo"/>
            <scheme val="minor"/>
          </rPr>
          <t>======
ID#AAABXbiK1Vc
    (2024-11-06 19:24:57)
Total Square Footage - Other - Ener the total inside square footage of the building space devoted to employee lounge, old record storage, and obsolete and/or infrequently used equipment storage. 
(NOTE: Be sure you have included mezzanines, etc.)</t>
        </r>
      </text>
    </comment>
    <comment ref="C13" authorId="0" shapeId="0" xr:uid="{00000000-0006-0000-0000-000048000000}">
      <text>
        <r>
          <rPr>
            <sz val="10"/>
            <color rgb="FF000000"/>
            <rFont val="Arimo"/>
            <scheme val="minor"/>
          </rPr>
          <t>======
ID#AAABXbpZQOg
    (2024-11-06 19:24:57)
Work-in-Process - Other - Enter the sum of all other items such as towing, tires ,etc., at cost, that have been charged to repair orders, which have not been closed out. 
(NOTE:This does not include repair orders that have been closed out and either charged to a customer’s account or are awaiting customer pickup).</t>
        </r>
      </text>
    </comment>
    <comment ref="F13" authorId="0" shapeId="0" xr:uid="{00000000-0006-0000-0000-000079000000}">
      <text>
        <r>
          <rPr>
            <sz val="10"/>
            <color rgb="FF000000"/>
            <rFont val="Arimo"/>
            <scheme val="minor"/>
          </rPr>
          <t>======
ID#AAABXbpZQLc
    (2024-11-06 19:24:57)
Total Square Footage - Building - When reporting via the internet, this is an automatic calculation field, returning the sum of Lines 42 through 45. If reporting manually, enter the total here.</t>
        </r>
      </text>
    </comment>
    <comment ref="C14" authorId="0" shapeId="0" xr:uid="{00000000-0006-0000-0000-000046000000}">
      <text>
        <r>
          <rPr>
            <sz val="10"/>
            <color rgb="FF000000"/>
            <rFont val="Arimo"/>
            <scheme val="minor"/>
          </rPr>
          <t>======
ID#AAABXbpZQOo
    (2024-11-06 19:24:57)
Other Assets - Enter the sum of all other current assets which have not been itemized above. This may include the current portion of notes receivable which will be collected within the next twelve months. 
(NOTE:This does not include repair orders that have been closed out and either charged to a customer’s account or are awaiting customer pickup).</t>
        </r>
      </text>
    </comment>
    <comment ref="F14" authorId="0" shapeId="0" xr:uid="{00000000-0006-0000-0000-000041000000}">
      <text>
        <r>
          <rPr>
            <sz val="10"/>
            <color rgb="FF000000"/>
            <rFont val="Arimo"/>
            <scheme val="minor"/>
          </rPr>
          <t>======
ID#AAABXbpZQO8
    (2024-11-06 19:24:58)
Total Number Usable Stalls - Enter the total number of stalls that are available to be used to repair vehicles. 
(NOTE: If your stalls can hold more than one vehicle, count the vehicle capacity as the number of stalls. If stalls are being used to store equipment, ect. on a permanent basis, they are not to be included in this calculation.)</t>
        </r>
      </text>
    </comment>
    <comment ref="C15" authorId="0" shapeId="0" xr:uid="{00000000-0006-0000-0000-0000A9000000}">
      <text>
        <r>
          <rPr>
            <sz val="10"/>
            <color rgb="FF000000"/>
            <rFont val="Arimo"/>
            <scheme val="minor"/>
          </rPr>
          <t>======
ID#AAABXbiK1Vs
    (2024-11-06 19:24:57)
Total Current Assets - When reporting via the internet, this is an automatic calculation field, totaling Lines 1 through 13. If reporting manually, enter the total here.</t>
        </r>
      </text>
    </comment>
    <comment ref="F15" authorId="0" shapeId="0" xr:uid="{00000000-0006-0000-0000-000056000000}">
      <text>
        <r>
          <rPr>
            <sz val="10"/>
            <color rgb="FF000000"/>
            <rFont val="Arimo"/>
            <scheme val="minor"/>
          </rPr>
          <t>======
ID#AAABXbpZQNo
    (2024-11-06 19:24:57)
Total Number of Hoists - Enter the total number of usable hoists in your shop area. 
(NOTE: This total is not to exceed the total reported on Line 47. If you have hoists outside, DO NOT include them in this total.)</t>
        </r>
      </text>
    </comment>
    <comment ref="C17" authorId="0" shapeId="0" xr:uid="{00000000-0006-0000-0000-0000A0000000}">
      <text>
        <r>
          <rPr>
            <sz val="10"/>
            <color rgb="FF000000"/>
            <rFont val="Arimo"/>
            <scheme val="minor"/>
          </rPr>
          <t>======
ID#AAABXbiK1WQ
    (2024-11-06 19:24:57)
Overview: These figures will be found on your Balance Sheet.</t>
        </r>
      </text>
    </comment>
    <comment ref="F17" authorId="0" shapeId="0" xr:uid="{00000000-0006-0000-0000-000007000000}">
      <text>
        <r>
          <rPr>
            <sz val="10"/>
            <color rgb="FF000000"/>
            <rFont val="Arimo"/>
            <scheme val="minor"/>
          </rPr>
          <t>======
ID#AAABXbpZQSk
Overview    (2024-11-06 19:24:58)
In most businesses many employees have primary duties and also perform a variety of other tasks. For purposes of the Composite, it is necessary to allocate employees by their primary duties (see Line 58). Employees can only be allocated into areas in units of whole numbers, as the composite will not accept the allocation of portions of persons. Therefore, an example may be as follows; A person is hired as a shop maintenance person, with primary duties to keep the shop clean. Other duties may include the shuttling of customers and parts pickup. You would report this employee in the “Number of Maintenance Shop” category on Line 55. 
	Allocating an Owner: An owner whose primary daily function consists of writing service, taking care of customers and dispatching the work, would add 1 (one) on Line 57 to the Number of Service Advisors. Salary considerations are addressed on line 133; Salaries, Owner. (NOTE: All areas indicated on Lines 49 through 58 must have corresponding salaries/wages filled in on Line 82 and Lines 130 through 139. If you have any questions in this area, please email them to info@wearetheinstitute.com.) 
These figures can be obtained from timecards or your shop management system. Revenue from sales of technician labor is the largest and most profitable income stream in the independent automotive repair industry. Ironically, it is the poorest managed. Bearing this in mind, it should be the primary goal of every shop to accurately track available hours (the time the technician is on the job available to work), actual hours (time spent working on vehicles producing income), and sold hours (the hours sold each month).</t>
        </r>
      </text>
    </comment>
    <comment ref="C18" authorId="0" shapeId="0" xr:uid="{00000000-0006-0000-0000-00009F000000}">
      <text>
        <r>
          <rPr>
            <sz val="10"/>
            <color rgb="FF000000"/>
            <rFont val="Arimo"/>
            <scheme val="minor"/>
          </rPr>
          <t>======
ID#AAABXbiK1WU
    (2024-11-06 19:24:57)
Net Fixed Assets - (After Depreciation) - Enter the sum of all your fixed assets such as equipment, furniture, business machines, computer equipment, etc., less current depreciation.
*Depreciation in accounting refers to the process of allocating the cost of a tangible asset over its useful life. It represents how much of the asset's value has been used up over time. Depreciation helps companies account for the wearing out, usage, or obsolescence of assets such as buildings, machinery, and equipment.</t>
        </r>
      </text>
    </comment>
    <comment ref="F18" authorId="0" shapeId="0" xr:uid="{00000000-0006-0000-0000-0000A4000000}">
      <text>
        <r>
          <rPr>
            <sz val="10"/>
            <color rgb="FF000000"/>
            <rFont val="Arimo"/>
            <scheme val="minor"/>
          </rPr>
          <t>======
ID#AAABXbiK1WA
    (2024-11-06 19:24:57)
Number of Management Personnel - Enter the total number of employees whose primary duty is to manage the business or a department. 
(NOTE: For purposes of the composite, to qualify as a manager of a department an employee must supervise at least one other person in that department, have the ability to hre and fire, and devore the majority of her/her time to management of the business or a department. If you feel that you, as an owner, are the manager and you devote full-time to your business, enter yourself as 1 (one) on Line 49.) 
(Also NOTE: If you are the only service advisor, for purposes of the composite, enter yourself under “Number of Service Advisors” on Line 57. If you have one employee designated as a “manager” and that person is also the only service advisor, for purposes of the composite, enter that person under “Number of Service Advisors” on Line 57.)</t>
        </r>
      </text>
    </comment>
    <comment ref="C19" authorId="0" shapeId="0" xr:uid="{00000000-0006-0000-0000-000067000000}">
      <text>
        <r>
          <rPr>
            <sz val="10"/>
            <color rgb="FF000000"/>
            <rFont val="Arimo"/>
            <scheme val="minor"/>
          </rPr>
          <t>======
ID#AAABXbpZQMk
    (2024-11-06 19:24:57)
Accounts Receivable - Employees -Enter the sum of all accounts receivable owed to the business by employees.</t>
        </r>
      </text>
    </comment>
    <comment ref="F19" authorId="0" shapeId="0" xr:uid="{00000000-0006-0000-0000-000018000000}">
      <text>
        <r>
          <rPr>
            <sz val="10"/>
            <color rgb="FF000000"/>
            <rFont val="Arimo"/>
            <scheme val="minor"/>
          </rPr>
          <t>======
ID#AAABXbpZQRg
    (2024-11-06 19:24:58)
Number of Supervisory - Office - Enter the total number of employees whose primary duty is to supervise other office staff in addition to their other duties. 
(NOTE: For purposes of the the composite, to qualify as a supervisor of a department, an employee must supervise at least one other person and devote the majority of his/her time to supervising. If only a very small amount of his/her time is spent supervising, the employee would not be considered a supervisor.)</t>
        </r>
      </text>
    </comment>
    <comment ref="C20" authorId="0" shapeId="0" xr:uid="{00000000-0006-0000-0000-000045000000}">
      <text>
        <r>
          <rPr>
            <sz val="10"/>
            <color rgb="FF000000"/>
            <rFont val="Arimo"/>
            <scheme val="minor"/>
          </rPr>
          <t>======
ID#AAABXbpZQOs
    (2024-11-06 19:24:57)
Account Receivable - Owners/Officers -  Enter the sum of all accounts receivable owed to the business by owners and officers.</t>
        </r>
      </text>
    </comment>
    <comment ref="F20" authorId="0" shapeId="0" xr:uid="{00000000-0006-0000-0000-000010000000}">
      <text>
        <r>
          <rPr>
            <sz val="10"/>
            <color rgb="FF000000"/>
            <rFont val="Arimo"/>
            <scheme val="minor"/>
          </rPr>
          <t>======
ID#AAABXbpZQSA
    (2024-11-06 19:24:58)
Number of Supervisory - Parts - Enter the total number of employees whose primary duty is to supervise other parts staff in addition to their other duties. 
Example: If you have one person designated as a “parts manager”  and that person is also the only employee in the parts department, for purposes of the composite, enter that person uner “Number of Parts Persons” on line 56. (See NOTE, Line 50 for explanation.)</t>
        </r>
      </text>
    </comment>
    <comment ref="C21" authorId="0" shapeId="0" xr:uid="{00000000-0006-0000-0000-000032000000}">
      <text>
        <r>
          <rPr>
            <sz val="10"/>
            <color rgb="FF000000"/>
            <rFont val="Arimo"/>
            <scheme val="minor"/>
          </rPr>
          <t>======
ID#AAABXbpZQP0
    (2024-11-06 19:24:58)
Notes Receivable - Long Term - Enter the sum of all notes receivable which are due to be paid to the company beyond 12 months.</t>
        </r>
      </text>
    </comment>
    <comment ref="F21" authorId="0" shapeId="0" xr:uid="{00000000-0006-0000-0000-000014000000}">
      <text>
        <r>
          <rPr>
            <sz val="10"/>
            <color rgb="FF000000"/>
            <rFont val="Arimo"/>
            <scheme val="minor"/>
          </rPr>
          <t>======
ID#AAABXbpZQRw
    (2024-11-06 19:24:58)
Number of Supervisory - Shop - Enter the total number of employees whose primary duty is to supervise other shop staff in addition to their other duties. 
(NOTE: If you have one person designated as a “shop foreman”,and that employee also performs repairs and maintenance on customer vehicles, for purposes of the composite, enter that person under “Number of Technicians” on Line 58. Also NOTE: A service manager would be considered management personnel as long as he/she qualifies as a manager above, and did not perform repairs and maintenance on customer vehicles. * See NOTE, Line 50 for an explanation.)</t>
        </r>
      </text>
    </comment>
    <comment ref="C22" authorId="0" shapeId="0" xr:uid="{00000000-0006-0000-0000-00001B000000}">
      <text>
        <r>
          <rPr>
            <sz val="10"/>
            <color rgb="FF000000"/>
            <rFont val="Arimo"/>
            <scheme val="minor"/>
          </rPr>
          <t>======
ID#AAABXbpZQRY
    (2024-11-06 19:24:58)
Other Assets - Enter the sum of all other assets which have not been itemized above.</t>
        </r>
      </text>
    </comment>
    <comment ref="F22" authorId="0" shapeId="0" xr:uid="{00000000-0006-0000-0000-00000C000000}">
      <text>
        <r>
          <rPr>
            <sz val="10"/>
            <color rgb="FF000000"/>
            <rFont val="Arimo"/>
            <scheme val="minor"/>
          </rPr>
          <t>======
ID#AAABXbpZQSQ
    (2024-11-06 19:24:58)
Number of Sales Persons - Enter the total number of persons whose sole duty is to perform outside sales.</t>
        </r>
      </text>
    </comment>
    <comment ref="C23" authorId="0" shapeId="0" xr:uid="{00000000-0006-0000-0000-00007F000000}">
      <text>
        <r>
          <rPr>
            <sz val="10"/>
            <color rgb="FF000000"/>
            <rFont val="Arimo"/>
            <scheme val="minor"/>
          </rPr>
          <t>======
ID#AAABXbpZQLE
    (2024-11-06 19:24:57)
Total Other Assets - When reporting via the internet, this is an automatic calculator field, totaling Line 15 through 19. If reporting manually, enter the total here.</t>
        </r>
      </text>
    </comment>
    <comment ref="F23" authorId="0" shapeId="0" xr:uid="{00000000-0006-0000-0000-00002F000000}">
      <text>
        <r>
          <rPr>
            <sz val="10"/>
            <color rgb="FF000000"/>
            <rFont val="Arimo"/>
            <scheme val="minor"/>
          </rPr>
          <t>======
ID#AAABXbpZQQE
    (2024-11-06 19:24:58)
Number of Clerical Personnel - Enter the total number of persons whose primary duty is to perform clerical tasks such as bookkeeping, filing, invoicing, etc.</t>
        </r>
      </text>
    </comment>
    <comment ref="F24" authorId="0" shapeId="0" xr:uid="{00000000-0006-0000-0000-0000AA000000}">
      <text>
        <r>
          <rPr>
            <sz val="10"/>
            <color rgb="FF000000"/>
            <rFont val="Arimo"/>
            <scheme val="minor"/>
          </rPr>
          <t>======
ID#AAABXbiK1Vo
    (2024-11-06 19:24:57)
Number of Maintenance - Shop - Enter the total number of persons whose primary duty is to perform shop, building and grounds maintenance. 
Example: If you have one person designated as a “maintenance person”, and that person also does 50% or more mechanical repair and less than 50% maintenance work, for purposes of the composite, enter that person under “Number of Technicians” on Line 58, and the balance of this person’s wages will go to Building Maintenance/Repair on Line 112.</t>
        </r>
      </text>
    </comment>
    <comment ref="C25" authorId="0" shapeId="0" xr:uid="{00000000-0006-0000-0000-00004E000000}">
      <text>
        <r>
          <rPr>
            <sz val="10"/>
            <color rgb="FF000000"/>
            <rFont val="Arimo"/>
            <scheme val="minor"/>
          </rPr>
          <t>======
ID#AAABXbpZQOI
    (2024-11-06 19:24:57)
Total Current &amp; Other Assets - When reporting via the internet, this is an automatic calculation field, totaling Lines 14 and 20. If reporting manually enter the total here.</t>
        </r>
      </text>
    </comment>
    <comment ref="F25" authorId="0" shapeId="0" xr:uid="{00000000-0006-0000-0000-00000B000000}">
      <text>
        <r>
          <rPr>
            <sz val="10"/>
            <color rgb="FF000000"/>
            <rFont val="Arimo"/>
            <scheme val="minor"/>
          </rPr>
          <t>======
ID#AAABXbpZQSU
    (2024-11-06 19:24:58)
Number of Parts Persons - Enter the total number of persons whose primary duty is to handle the ordering and distribution of parts for the technicians and maintain the inventory. 
(NOTE: If  you have one person designated as “Service Advisor”, and that person is also the person who orders parts, for purposes of the composite, enter that person under “Number of Service Advisors” on Line 57.)</t>
        </r>
      </text>
    </comment>
    <comment ref="F26" authorId="0" shapeId="0" xr:uid="{00000000-0006-0000-0000-000087000000}">
      <text>
        <r>
          <rPr>
            <sz val="10"/>
            <color rgb="FF000000"/>
            <rFont val="Arimo"/>
            <scheme val="minor"/>
          </rPr>
          <t>======
ID#AAABXbiK1X0
    (2024-11-06 19:24:57)
Number of Service Advisors - Enter the total number of persons whose primary duty is to write repair orders and handle customers.</t>
        </r>
      </text>
    </comment>
    <comment ref="C27" authorId="0" shapeId="0" xr:uid="{00000000-0006-0000-0000-000073000000}">
      <text>
        <r>
          <rPr>
            <sz val="10"/>
            <color rgb="FF000000"/>
            <rFont val="Arimo"/>
            <scheme val="minor"/>
          </rPr>
          <t>======
ID#AAABXbpZQL0
    (2024-11-06 19:24:57)
Overview: These figures will be found on your Balance Sheet.</t>
        </r>
      </text>
    </comment>
    <comment ref="F27" authorId="0" shapeId="0" xr:uid="{00000000-0006-0000-0000-000077000000}">
      <text>
        <r>
          <rPr>
            <sz val="10"/>
            <color rgb="FF000000"/>
            <rFont val="Arimo"/>
            <scheme val="minor"/>
          </rPr>
          <t>======
ID#AAABXbpZQLk
    (2024-11-06 19:24:57)
Number of Technicians - Enter the total number of persons whose primary duty is to perform income producing labor by repairing and maintaining customer vehicles. 
(NOTE: If  you have a person designated as a “Technician”, and that person also does shop cleanup, for purposes of the composite, enter that person under “Number of Technicians”.) 
(Also NOTE: For purposes of this composite ,employees who perform repairs and maintenance on customer vehicles as a primary task are to be entered on Line 58.)</t>
        </r>
      </text>
    </comment>
    <comment ref="C28" authorId="0" shapeId="0" xr:uid="{00000000-0006-0000-0000-000076000000}">
      <text>
        <r>
          <rPr>
            <sz val="10"/>
            <color rgb="FF000000"/>
            <rFont val="Arimo"/>
            <scheme val="minor"/>
          </rPr>
          <t>======
ID#AAABXbpZQLo
    (2024-11-06 19:24:57)
Accounts Payable - Enter the sum of all accumulated accounts payable owed to suppliers and other vendors for purchases and expenses that have not yet been paid.</t>
        </r>
      </text>
    </comment>
    <comment ref="F28" authorId="0" shapeId="0" xr:uid="{00000000-0006-0000-0000-000019000000}">
      <text>
        <r>
          <rPr>
            <sz val="10"/>
            <color rgb="FF000000"/>
            <rFont val="Arimo"/>
            <scheme val="minor"/>
          </rPr>
          <t>======
ID#AAABXbpZQRc
    (2024-11-06 19:24:58)
Total Employees - When reporting via the internet, this is an automatic calculation field, totaling Lines 49 through 58. If reporting manually, enter the total here.</t>
        </r>
      </text>
    </comment>
    <comment ref="C29" authorId="0" shapeId="0" xr:uid="{00000000-0006-0000-0000-00006F000000}">
      <text>
        <r>
          <rPr>
            <sz val="10"/>
            <color rgb="FF000000"/>
            <rFont val="Arimo"/>
            <scheme val="minor"/>
          </rPr>
          <t>======
ID#AAABXbpZQME
    (2024-11-06 19:24:57)
Customer Deposits - Enter the sum of all deposits collected from customers for service and/or materials which have not yet been provided or completed.</t>
        </r>
      </text>
    </comment>
    <comment ref="C30" authorId="0" shapeId="0" xr:uid="{00000000-0006-0000-0000-000017000000}">
      <text>
        <r>
          <rPr>
            <sz val="10"/>
            <color rgb="FF000000"/>
            <rFont val="Arimo"/>
            <scheme val="minor"/>
          </rPr>
          <t>======
ID#AAABXbpZQRk
    (2024-11-06 19:24:58)
Notes Payable - ( Current Portion) - Enter the sum of all notes payable which are due to be paid by the company within the next 12 months
*Example: You have a five year loan, with a balance due of $30,000, payable at $600 per month. The current portion of the $30,000 would be $7,200 ($600 month x 12 months). The balance of $22,800 ($30,000 (-) $7,200), will be entered on Line 35. (NOTE: In this example, the amount shown on Line 24 will not decrease until you have 11 payments remaining, and then be reduced by $600 each month until paid off.)</t>
        </r>
      </text>
    </comment>
    <comment ref="F30" authorId="0" shapeId="0" xr:uid="{00000000-0006-0000-0000-00005F000000}">
      <text>
        <r>
          <rPr>
            <sz val="10"/>
            <color rgb="FF000000"/>
            <rFont val="Arimo"/>
            <scheme val="minor"/>
          </rPr>
          <t>======
ID#AAABXbpZQNE
    (2024-11-06 19:24:57)
Overview: These figures can be obtained from timecards or your shop management system. Revenue from sales of technician labor is the largest and most profitable income stream in the independent automotive repair industry. Ironically, it is the poorest managed. Bearing this in mind, it should be the primary goal of every shop to accurately track available hours (the time the technician is on the job available to work), actual hours (time spent working on vehicles producing income), and sold hours (the hours sold each month).</t>
        </r>
      </text>
    </comment>
    <comment ref="C31" authorId="0" shapeId="0" xr:uid="{00000000-0006-0000-0000-000093000000}">
      <text>
        <r>
          <rPr>
            <sz val="10"/>
            <color rgb="FF000000"/>
            <rFont val="Arimo"/>
            <scheme val="minor"/>
          </rPr>
          <t>======
ID#AAABXbiK1XE
    (2024-11-06 19:24:57)
Long Term Debt - (Current Portion) - Enter the sum of all loans, equipment leases, etc. which are due to be paid by the company within the next 12 months. (NOTE: This amount will not decrease until you have paid the balance off beyond the 12 month amount, Line 37.)
*Example: You have a five year lease with an equipment company for $15,000 and the payment is $250 per month. The current portion would be $250 x 12, or $3,000. The balance of $12,000 ($15,000 (-) $3,000) would be entered on Line 37.</t>
        </r>
      </text>
    </comment>
    <comment ref="F31" authorId="0" shapeId="0" xr:uid="{00000000-0006-0000-0000-000083000000}">
      <text>
        <r>
          <rPr>
            <sz val="10"/>
            <color rgb="FF000000"/>
            <rFont val="Arimo"/>
            <scheme val="minor"/>
          </rPr>
          <t>======
ID#AAABXbiK1YE
    (2024-11-06 19:24:57)
Total - Available Hours - Enter the total hours all technicians are on the job available to perform income-producing labor. (NOTE:This does not include vacation, holiday, or sick leave hours for which they may be paid. The normal available time would be eight (8) hours per day unless they started work late, went home early, or were absent.)
*Example: First, assume a shop has 3 technicians, is open Monday-through-Friday, and each technician works eight hours per day. Let’s further suggest that the month we’re computing has 22 working days and one holiday. You would calculate your available hours as follows: 22 days x 8 hours x 3 technicians =528 available hours. Let’s also factor in that one technician had two weeks off for vacation, and one was off for three days due to a work-related injury. Calculate the subsets first: Two weeks vacation equals 80 hours (10 days x 8 hours per day). The job injury equals 24 hours (3 day x 8 hours per day). The subtotal is 104 hours (80 hours vacation + 24 hours injury time off). Now figure the total month: The total available hours of 528, minus the vacation and injury leave hours of 104, equals 424 Total Available Hours for the month. Remember, do not include the holiday time off as the technician was not on the job available to do income-producing work.</t>
        </r>
      </text>
    </comment>
    <comment ref="C32" authorId="0" shapeId="0" xr:uid="{00000000-0006-0000-0000-00008A000000}">
      <text>
        <r>
          <rPr>
            <sz val="10"/>
            <color rgb="FF000000"/>
            <rFont val="Arimo"/>
            <scheme val="minor"/>
          </rPr>
          <t>======
ID#AAABXbiK1Xo
    (2024-11-06 19:24:57)
Accrued Sales Tax Payable - Enter the sum of all accrued sales tax that has not yet been paid.</t>
        </r>
      </text>
    </comment>
    <comment ref="F32" authorId="0" shapeId="0" xr:uid="{00000000-0006-0000-0000-000091000000}">
      <text>
        <r>
          <rPr>
            <sz val="10"/>
            <color rgb="FF000000"/>
            <rFont val="Arimo"/>
            <scheme val="minor"/>
          </rPr>
          <t>======
ID#AAABXbiK1XM
    (2024-11-06 19:24:57)
Total - Actual hours - Enter the total hours all technicians spent working on customer producing labor income. (NOTE: This does not include hours spent doing comebacks, non-reimbursable warranty work or work other than repairs and maintenance on customer vehicles, such as shop cleanup, equipment repair, etc.) 
Example: Our example in Line 60 was pretty straightforward, and can be gleaned from almost any payroll/accounting system. It gets a bit tougher here, but this is where the rubber meets the road. If you’re not using a time tracking system that also tracks “actual time’, seriously consider investing in one as  your next management tool. For information on manually tracking Total Actual Hours, refer to the Technician Time Management (Managing Team Labor) workbook. 
If you do not have a tracking system that accurately tracks available, actual and sold items, we have designed a temporary default that levels the playing ground for these businesses. To determine “Actual Hours,” multiply your “Total Available Hours” times 90% to come up with a figure for your “Total Actual Hours”. Using our example, 528 “Total Available Hours” times 90% equals 472 “Total Actual Hours”.</t>
        </r>
      </text>
    </comment>
    <comment ref="C33" authorId="0" shapeId="0" xr:uid="{00000000-0006-0000-0000-000052000000}">
      <text>
        <r>
          <rPr>
            <sz val="10"/>
            <color rgb="FF000000"/>
            <rFont val="Arimo"/>
            <scheme val="minor"/>
          </rPr>
          <t>======
ID#AAABXbpZQN8
    (2024-11-06 19:24:57)
Accrued Interest Payable - Enter the sum of all accrued interest that has not yet been paid.</t>
        </r>
      </text>
    </comment>
    <comment ref="F33" authorId="0" shapeId="0" xr:uid="{00000000-0006-0000-0000-00007C000000}">
      <text>
        <r>
          <rPr>
            <sz val="10"/>
            <color rgb="FF000000"/>
            <rFont val="Arimo"/>
            <scheme val="minor"/>
          </rPr>
          <t>======
ID#AAABXbpZQLQ
    (2024-11-06 19:24:57)
Total - Sold Hours - Enter the total of all technician hours billed to customers. (NOTE: Some garage management systems only track “sold” time, and only after an invoice is “closed out” or completed. Those systems do not accurately reflect the true sold hours for the month. The easiest method to handle this problem is to close out all ROs at the end of the month and then generate a “continuing RO” for each of those jobs that are still in the process of being completed. Also NOTE: If you don’t have a system to track “Sold Hours’, the default to report “Sold Hours'' would be to divide your total labor sales by your hourly rate. This would provide a total number of “Sold Hours” at your full labor rate which is skewed from what really were your “Sold Hours” but will provide information for comparison.)
Example: Your total labor sales are $30,000 and your labor rate is $62.00 per hour.
$30,000 ÷ $62.00 = $483.88 sold hours, which for reporting purposes you would round to 484 “Sold Hours”.</t>
        </r>
      </text>
    </comment>
    <comment ref="C34" authorId="0" shapeId="0" xr:uid="{00000000-0006-0000-0000-00001D000000}">
      <text>
        <r>
          <rPr>
            <sz val="10"/>
            <color rgb="FF000000"/>
            <rFont val="Arimo"/>
            <scheme val="minor"/>
          </rPr>
          <t>======
ID#AAABXbpZQRM
    (2024-11-06 19:24:58)
Accrued Insurance Payable - Enter the sum of all accrued payroll that has not yet  been paid.</t>
        </r>
      </text>
    </comment>
    <comment ref="C35" authorId="0" shapeId="0" xr:uid="{00000000-0006-0000-0000-000031000000}">
      <text>
        <r>
          <rPr>
            <sz val="10"/>
            <color rgb="FF000000"/>
            <rFont val="Arimo"/>
            <scheme val="minor"/>
          </rPr>
          <t>======
ID#AAABXbpZQP8
    (2024-11-06 19:24:58)
Accrued Payroll Payable - Enter the sum of all accrued payroll tha has not yet been paid.</t>
        </r>
      </text>
    </comment>
    <comment ref="F35" authorId="0" shapeId="0" xr:uid="{00000000-0006-0000-0000-00006D000000}">
      <text>
        <r>
          <rPr>
            <sz val="10"/>
            <color rgb="FF000000"/>
            <rFont val="Arimo"/>
            <scheme val="minor"/>
          </rPr>
          <t>======
ID#AAABXbpZQMM
    (2024-11-06 19:24:57)
Total Days Worked - Enter the total days during the month your shop is open to customers. Half-days: If you are open Saturday from 8 to 12:00, count the day as one full day. The reason is that experience has proven most half-days are unprofitable. By reporting full days there are areas of the composite that will trigger discussion related to daily production, leading to discussion of half-days and related profitability.</t>
        </r>
      </text>
    </comment>
    <comment ref="C36" authorId="0" shapeId="0" xr:uid="{00000000-0006-0000-0000-00000A000000}">
      <text>
        <r>
          <rPr>
            <sz val="10"/>
            <color rgb="FF000000"/>
            <rFont val="Arimo"/>
            <scheme val="minor"/>
          </rPr>
          <t>======
ID#AAABXbpZQSY
    (2024-11-06 19:24:58)
Accrued Payroll Taxes Payable - Enter the sum of all accrued payroll taxes that have not yet been paid.</t>
        </r>
      </text>
    </comment>
    <comment ref="C37" authorId="0" shapeId="0" xr:uid="{00000000-0006-0000-0000-000034000000}">
      <text>
        <r>
          <rPr>
            <sz val="10"/>
            <color rgb="FF000000"/>
            <rFont val="Arimo"/>
            <scheme val="minor"/>
          </rPr>
          <t>======
ID#AAABXbpZQPw
    (2024-11-06 19:24:58)
Accrued Income Tax Payable - Enter the sum of all accrued income tax that has not yet been paid.</t>
        </r>
      </text>
    </comment>
    <comment ref="F37" authorId="0" shapeId="0" xr:uid="{00000000-0006-0000-0000-00006E000000}">
      <text>
        <r>
          <rPr>
            <sz val="10"/>
            <color rgb="FF000000"/>
            <rFont val="Arimo"/>
            <scheme val="minor"/>
          </rPr>
          <t>======
ID#AAABXbpZQMI
    (2024-11-06 19:24:57)
Current Labor Rate - Enter your current labor rate charged to customers. 
(NOTE: If you use a tiered labor rate schedule, for purposes of the composite, you must average the rates proportionally to hours billed at those rates to establish a labor rate.)
*Example: You have three labor rates, one at $45.00, one at $50.00, and one at $60.00. You billed customers for a total of 900 hours, (300 hours at $45.00, 300 hours at $50.00 and 300 hours at $60.00). You would calculate your labor rate as follows. 
	300 x $45.00 = $13,500
	300 x $50.00 = $15,000
	300 x $60.00 = $18,000
Now add the totals: $13,500 + $15,000 + $18,000 = $46,500. 
Divide the grand total, $46,500 by 900 hours, which equals an effective hourly labor rate of $51.67.</t>
        </r>
      </text>
    </comment>
    <comment ref="C38" authorId="0" shapeId="0" xr:uid="{00000000-0006-0000-0000-00000F000000}">
      <text>
        <r>
          <rPr>
            <sz val="10"/>
            <color rgb="FF000000"/>
            <rFont val="Arimo"/>
            <scheme val="minor"/>
          </rPr>
          <t>======
ID#AAABXbpZQSE
    (2024-11-06 19:24:58)
Accrued Personal Property Tax Payable - Enter the sum of all accrued personal property taxes that have not yet been paid. This includes property taxes due on inventory and equipment but not on your building. (See Line 113 Building - Rent/Lease on proper handling of your building property taxes.)</t>
        </r>
      </text>
    </comment>
    <comment ref="C39" authorId="0" shapeId="0" xr:uid="{00000000-0006-0000-0000-000006000000}">
      <text>
        <r>
          <rPr>
            <sz val="10"/>
            <color rgb="FF000000"/>
            <rFont val="Arimo"/>
            <scheme val="minor"/>
          </rPr>
          <t>======
ID#AAABXbpZQSo
    (2024-11-06 19:24:58)
Other Current Liabilities - Enter the sum of all other current liabilities which have not been itemized above.</t>
        </r>
      </text>
    </comment>
    <comment ref="F39" authorId="0" shapeId="0" xr:uid="{00000000-0006-0000-0000-000051000000}">
      <text>
        <r>
          <rPr>
            <sz val="10"/>
            <color rgb="FF000000"/>
            <rFont val="Arimo"/>
            <scheme val="minor"/>
          </rPr>
          <t>======
ID#AAABXbpZQN4
    (2024-11-06 19:24:57)
Total ROs Written - Enter the total number of repair orders written. 
(NOTE: Do not include “open” or “work-in-progress” ROs, those used for parts sales only to either employees or customers, “voids”, and repair orders used for tracking of time spent performing shop cleanup, etc. Do include all ROs with labor charges, ROs for lifetime oil changes, ROs for state inspections and/or emissions inspections, tire repairs when the vehicle is present, and quick oil changes.)</t>
        </r>
      </text>
    </comment>
    <comment ref="C40" authorId="0" shapeId="0" xr:uid="{00000000-0006-0000-0000-00009D000000}">
      <text>
        <r>
          <rPr>
            <sz val="10"/>
            <color rgb="FF000000"/>
            <rFont val="Arimo"/>
            <scheme val="minor"/>
          </rPr>
          <t>======
ID#AAABXbiK1Wc
    (2024-11-06 19:24:57)
Total Current Liabilities - When reporting via the internet, this is an automatic calculation field, totaling Lines 22 through 33. If reporting manually, enter the total here.</t>
        </r>
      </text>
    </comment>
    <comment ref="F41" authorId="0" shapeId="0" xr:uid="{00000000-0006-0000-0000-00008D000000}">
      <text>
        <r>
          <rPr>
            <sz val="10"/>
            <color rgb="FF000000"/>
            <rFont val="Arimo"/>
            <scheme val="minor"/>
          </rPr>
          <t>======
ID#AAABXbiK1Xc
    (2024-11-06 19:24:57)
Overview: These  figures will be found on your Balance Sheet and on your accounts receivable aging report.</t>
        </r>
      </text>
    </comment>
    <comment ref="C42" authorId="0" shapeId="0" xr:uid="{00000000-0006-0000-0000-00004C000000}">
      <text>
        <r>
          <rPr>
            <sz val="10"/>
            <color rgb="FF000000"/>
            <rFont val="Arimo"/>
            <scheme val="minor"/>
          </rPr>
          <t>======
ID#AAABXbpZQOU
    (2024-11-06 19:24:57)
Overview: These figures will be found on your balance sheet.</t>
        </r>
      </text>
    </comment>
    <comment ref="F42" authorId="0" shapeId="0" xr:uid="{00000000-0006-0000-0000-000005000000}">
      <text>
        <r>
          <rPr>
            <sz val="10"/>
            <color rgb="FF000000"/>
            <rFont val="Arimo"/>
            <scheme val="minor"/>
          </rPr>
          <t>======
ID#AAABXbpZQSs
    (2024-11-06 19:24:58)
Current Receivables - (0-30 days) - Enter the sum of all accounts receivable owed to the business by customers that have been a receivable 30 days or less from the date of completion. 
(NOTE: Do not include accounts receivable due from employees.)</t>
        </r>
      </text>
    </comment>
    <comment ref="C43" authorId="0" shapeId="0" xr:uid="{00000000-0006-0000-0000-000050000000}">
      <text>
        <r>
          <rPr>
            <sz val="10"/>
            <color rgb="FF000000"/>
            <rFont val="Arimo"/>
            <scheme val="minor"/>
          </rPr>
          <t>======
ID#AAABXbpZQOA
    (2024-11-06 19:24:57)
Notes Payable - Enter the sum of all notes payable due to be paid by the company beyond the first 12 months amount. 
(NOTE: This figure will diminish each month by the amount applied to the note, leaving the 12 month figure the same on Line 24 until this category is depleted.)</t>
        </r>
      </text>
    </comment>
    <comment ref="F43" authorId="0" shapeId="0" xr:uid="{00000000-0006-0000-0000-000029000000}">
      <text>
        <r>
          <rPr>
            <sz val="10"/>
            <color rgb="FF000000"/>
            <rFont val="Arimo"/>
            <scheme val="minor"/>
          </rPr>
          <t>======
ID#AAABXbpZQQc
    (2024-11-06 19:24:58)
Receivables - (31-60 days) - Enter the sum of all accounts receivable owed to the business by customers that have been a receivable 31 to 60 days from the date of completion. 
(NOTE: Do not include accounts receivable due from employees.)</t>
        </r>
      </text>
    </comment>
    <comment ref="C44" authorId="0" shapeId="0" xr:uid="{00000000-0006-0000-0000-000095000000}">
      <text>
        <r>
          <rPr>
            <sz val="10"/>
            <color rgb="FF000000"/>
            <rFont val="Arimo"/>
            <scheme val="minor"/>
          </rPr>
          <t>======
ID#AAABXbiK1W8
    (2024-11-06 19:24:57)
Notes Payable - Officers/Stockholders - Enter the sum of all notes payable due to be paid to officers and stockholders of the company.</t>
        </r>
      </text>
    </comment>
    <comment ref="F44" authorId="0" shapeId="0" xr:uid="{00000000-0006-0000-0000-00009E000000}">
      <text>
        <r>
          <rPr>
            <sz val="10"/>
            <color rgb="FF000000"/>
            <rFont val="Arimo"/>
            <scheme val="minor"/>
          </rPr>
          <t>======
ID#AAABXbiK1WY
    (2024-11-06 19:24:57)
Receivables - (61-90 days) - Enter the sum of all accounts receivable owed to the business by customers that have been a receivable 61 to 90 days from the date of completion. 
(NOTE: Do not include accounts receivable due from employees.)</t>
        </r>
      </text>
    </comment>
    <comment ref="C45" authorId="0" shapeId="0" xr:uid="{00000000-0006-0000-0000-00004D000000}">
      <text>
        <r>
          <rPr>
            <sz val="10"/>
            <color rgb="FF000000"/>
            <rFont val="Arimo"/>
            <scheme val="minor"/>
          </rPr>
          <t>======
ID#AAABXbpZQOM
    (2024-11-06 19:24:57)
Other Long Term Liabilities - Enter the sum of all other long term liabilities which have not been itemized above. 
(NOTE: This figure will diminish each month by the amount applied to the note, leaving the 12 month figure the same on Line 25 until this category is depleted.)</t>
        </r>
      </text>
    </comment>
    <comment ref="F45" authorId="0" shapeId="0" xr:uid="{00000000-0006-0000-0000-00005A000000}">
      <text>
        <r>
          <rPr>
            <sz val="10"/>
            <color rgb="FF000000"/>
            <rFont val="Arimo"/>
            <scheme val="minor"/>
          </rPr>
          <t>======
ID#AAABXbpZQNY
    (2024-11-06 19:24:57)
Receivables - (Over 90 days) - Enter the sum of all accounts receivable owed to the business by customers that have been a receivable over 90 days from the date of completion. 
(NOTE: Do not include accounts receivable due from employees.).</t>
        </r>
      </text>
    </comment>
    <comment ref="C46" authorId="0" shapeId="0" xr:uid="{00000000-0006-0000-0000-000044000000}">
      <text>
        <r>
          <rPr>
            <sz val="10"/>
            <color rgb="FF000000"/>
            <rFont val="Arimo"/>
            <scheme val="minor"/>
          </rPr>
          <t>======
ID#AAABXbpZQOw
    (2024-11-06 19:24:57)
Total Long Term Liabilities - When reporting via the internet, this is an automatic calculator field, totalling Lines 35 through 37. If reporting manually, enter the total here.</t>
        </r>
      </text>
    </comment>
    <comment ref="F46" authorId="0" shapeId="0" xr:uid="{00000000-0006-0000-0000-000060000000}">
      <text>
        <r>
          <rPr>
            <sz val="10"/>
            <color rgb="FF000000"/>
            <rFont val="Arimo"/>
            <scheme val="minor"/>
          </rPr>
          <t>======
ID#AAABXbpZQNA
    (2024-11-06 19:24:57)
Total Accounts Receivable - When reporting via the internet, this is an automatic calculation field totaling Lines 66 through 69. If reporting manually, enter the total here. This Line must equal Line 3.  
(NOTE: Do not include accounts receivable due from employees.)</t>
        </r>
      </text>
    </comment>
    <comment ref="C48" authorId="0" shapeId="0" xr:uid="{00000000-0006-0000-0000-00003C000000}">
      <text>
        <r>
          <rPr>
            <sz val="10"/>
            <color rgb="FF000000"/>
            <rFont val="Arimo"/>
            <scheme val="minor"/>
          </rPr>
          <t>======
ID#AAABXbpZQPQ
    (2024-11-06 19:24:58)
Overview: Tracking pricing trends, potential sales income, and marketing campaign results require meaningful information. To better analyze your current sales, and suggest billing or marketing policy changes, we require you to report break-out sales in the following manner;
         Retail Customer Sales &amp; Discounts: All Service Repair Orders (ROs) with parts, labor, tires, sublet, towing, environmental fees,and shop supplies and over-the-counter parts invoices should be billed at the normal retail price. The total of this full-price amount is what will be reported on Lines 71 through 78. Discounts extended to each RO or over-the-counter parts invoice are then subtracted from the total sale. All discounts are then totaled at the end of the month and this total entered on Line 154 Sales Discount/Adjustments/ Refunds. This includes special discount pricing on all service specials you may be offering where you have discounted
from your normal everyday pricing. You should track these discounts by income (sales) stream as it will make it easier to add back into your sales if your garage management system automatically lumps all discounts into one account number.
	Example: Your normal everyday price for an oil change/lube service may be $24.95. To promote business you advertised a $12.95 special. All ROs would be written at $24.95 with a discount of $12.00 entered at the bottom of the RO, leaving a net price of $12.95. Again, you should track the discount by revenue stream, perhaps in this instance you discounted the parts (oil &amp; filter) by $5.00 and the labor by $7.00. (NOTE: DO NOT inflate your oil changes or any other service and then discount it to your everyday price.)
	Shop Supplies: For composite purposes, all shop supply sales which are calculated as a percentage of one or more of the income streams are to be included with parts sales and added to Line 71 Parts, Service Repair Order. In addition, the related costs of these supplies are to be reported on Line 80 Purchases-Parts Service Repair Order. It is recommended that when possible, shop supplies should be listed in the parts area of the RO and the appropriate markup taken.
	Parts, Labor, Sublet, Tires and Towing “Sold” to Company Owners on Repair Orders: If these “sales” are billed at cost, total and add to Line 133 Salaries, Owners. If these “sales” are billed at retail, they should be placed in accounts receivable and paid by the owner. If the owner never pays the accounts receivable, the amount for composite purposes will be placed on Line 133 Owners Salaries.
         Parts Sold to Employees, Owners, Officers &amp; Stockholders on Invoices Other Than on an RO with Labor: These sales are entered on Line 78 Total Income - Other.
         Parts, Labor, Sublet, Tires and Towing Sold to Employees on a Repair Order: These “sales” are to be treated the same as any retail sales, and any discounts given are to be placed on Line 154 Sales/Adjustments/Refunds AND are to be included in your monthly RO count. If the employee never pays the accounts receivable, the amount for composite purposes, will be placed on Line 149 Other Operating Expenses Combined.</t>
        </r>
      </text>
    </comment>
    <comment ref="C49" authorId="0" shapeId="0" xr:uid="{00000000-0006-0000-0000-000066000000}">
      <text>
        <r>
          <rPr>
            <sz val="10"/>
            <color rgb="FF000000"/>
            <rFont val="Arimo"/>
            <scheme val="minor"/>
          </rPr>
          <t>======
ID#AAABXbpZQMo
    (2024-11-06 19:24:57)
Parts - Service Repair Order - Enter all income derived by parts and supplies sold on Service Repair Orders.</t>
        </r>
      </text>
    </comment>
    <comment ref="F49" authorId="0" shapeId="0" xr:uid="{00000000-0006-0000-0000-0000A6000000}">
      <text>
        <r>
          <rPr>
            <sz val="10"/>
            <color rgb="FF000000"/>
            <rFont val="Arimo"/>
            <scheme val="minor"/>
          </rPr>
          <t>======
ID#AAABXbiK1V4
    (2024-11-06 19:24:57)
Bankcard Services - Enter on this line all bank fees related to the acceptance of bank cards with the exception of the bankcard machines themselves. 
(NOTE: the bankcard machine expenses, including leases will be included on line 118, Equipment Rent/Leases.)</t>
        </r>
      </text>
    </comment>
    <comment ref="C50" authorId="0" shapeId="0" xr:uid="{00000000-0006-0000-0000-000097000000}">
      <text>
        <r>
          <rPr>
            <sz val="10"/>
            <color rgb="FF000000"/>
            <rFont val="Arimo"/>
            <scheme val="minor"/>
          </rPr>
          <t>======
ID#AAABXbiK1W0
    (2024-11-06 19:24:57)
Parts - Other - Enter all income derived from any large unit part assemblies such as engines/transmissions that do not conform to your normal parts matrix. Over the counter sales, and employee parts sales can also be entered here. The sales you report here should not be included in any other parts sales category (line 71). Be sure to enter the “cost” of any sales reported here on line 81. (NOTE: Include parts sold over the counter or to employees where no repair order was written and/or no labor was performed).</t>
        </r>
      </text>
    </comment>
    <comment ref="F50" authorId="0" shapeId="0" xr:uid="{00000000-0006-0000-0000-000043000000}">
      <text>
        <r>
          <rPr>
            <sz val="10"/>
            <color rgb="FF000000"/>
            <rFont val="Arimo"/>
            <scheme val="minor"/>
          </rPr>
          <t>======
ID#AAABXbpZQO0
    (2024-11-06 19:24:57)
Building Maintenance/Repair - Enter the cost of all building maintenance and repair. 
(NOTE: Do not include full-time employee labor or supplies provided through employees.These items will be expensed under Line 131, Salaries - Maint/
Shop, and Line 141, Supplies -  Building.)</t>
        </r>
      </text>
    </comment>
    <comment ref="C51" authorId="0" shapeId="0" xr:uid="{00000000-0006-0000-0000-000059000000}">
      <text>
        <r>
          <rPr>
            <sz val="10"/>
            <color rgb="FF000000"/>
            <rFont val="Arimo"/>
            <scheme val="minor"/>
          </rPr>
          <t>======
ID#AAABXbpZQNc
    (2024-11-06 19:24:57)
Labor - Retail/Wholesale - Enter all income derived by labor sold on Service Repair Orders.</t>
        </r>
      </text>
    </comment>
    <comment ref="F51" authorId="0" shapeId="0" xr:uid="{00000000-0006-0000-0000-000040000000}">
      <text>
        <r>
          <rPr>
            <sz val="10"/>
            <color rgb="FF000000"/>
            <rFont val="Arimo"/>
            <scheme val="minor"/>
          </rPr>
          <t>======
ID#AAABXbpZQPA
    (2024-11-06 19:24:58)
Building - Rent/Lease - Enter the cost of renting the entire premises on which your business operations are conducted. If you are on a triple-net agreement, this
expenses may fluctuate as the owner’s tax and/or insurance payment move up and/or down. If you are paying a triple net lease, include the entire cost in this Line. 
Triple-net: A Triple-net lease is made up of three parts:building payment, insurance payment, and personal property tax payment. All of these factors would be combined and the total would be entered on this line.
Purchasing: If you are purchasing the property and building personally and renting it back to the business, for composite reporting purposes establish a competitive “fair rent factor” for the building and land and indicate that “fair market value” on this line.
(Note: If your actual principal, interest, and taxes are higher than a competitive “fair market value,” use the higher number as your rent reported. If your actual payment is lower then use a “fair market value.”)</t>
        </r>
      </text>
    </comment>
    <comment ref="C52" authorId="0" shapeId="0" xr:uid="{00000000-0006-0000-0000-00006B000000}">
      <text>
        <r>
          <rPr>
            <sz val="10"/>
            <color rgb="FF000000"/>
            <rFont val="Arimo"/>
            <scheme val="minor"/>
          </rPr>
          <t>======
ID#AAABXbpZQMU
    (2024-11-06 19:24:57)
Sublet -  Enter all LABOR income derived by the sublet repairs sold on Service Repair Orders. (NOTE:Include any PARTS income on Line 71.)</t>
        </r>
      </text>
    </comment>
    <comment ref="F52" authorId="0" shapeId="0" xr:uid="{00000000-0006-0000-0000-000027000000}">
      <text>
        <r>
          <rPr>
            <sz val="10"/>
            <color rgb="FF000000"/>
            <rFont val="Arimo"/>
            <scheme val="minor"/>
          </rPr>
          <t>======
ID#AAABXbpZQQk
    (2024-11-06 19:24:58)
Dues/Subscriptions/Memberships - Enter the cost of belonging to trade and business associations; subscriptions to publications, technical “hot-line” services, franchise
fees. Any memberships or publications that are considered an employee benefit should be expensed under Line 115,Employee Benefits.</t>
        </r>
      </text>
    </comment>
    <comment ref="C53" authorId="0" shapeId="0" xr:uid="{00000000-0006-0000-0000-000064000000}">
      <text>
        <r>
          <rPr>
            <sz val="10"/>
            <color rgb="FF000000"/>
            <rFont val="Arimo"/>
            <scheme val="minor"/>
          </rPr>
          <t>======
ID#AAABXbpZQMw
    (2024-11-06 19:24:57)
Tires - Enter all income derived from tire sales. (NOTE: Include any excise tax on Line 71.)</t>
        </r>
      </text>
    </comment>
    <comment ref="F53" authorId="0" shapeId="0" xr:uid="{00000000-0006-0000-0000-00009C000000}">
      <text>
        <r>
          <rPr>
            <sz val="10"/>
            <color rgb="FF000000"/>
            <rFont val="Arimo"/>
            <scheme val="minor"/>
          </rPr>
          <t>======
ID#AAABXbiK1Wg
    (2024-11-06 19:24:57)
Employee Benefits - Enter ONLY the cost of employee benefits incurred by the company, not the employee's contribution, for things such as vacations, holidays, sick leave, health insurance, company portion of pension contributions, etc.</t>
        </r>
      </text>
    </comment>
    <comment ref="C54" authorId="0" shapeId="0" xr:uid="{00000000-0006-0000-0000-00007B000000}">
      <text>
        <r>
          <rPr>
            <sz val="10"/>
            <color rgb="FF000000"/>
            <rFont val="Arimo"/>
            <scheme val="minor"/>
          </rPr>
          <t>======
ID#AAABXbpZQLU
    (2024-11-06 19:24:57)
Towing - Enter all income derived from sublet towing sold on Service Repair Orders. (NOTE: If you own a tow truck and are towing vehicles into the shop, determine a competitive price to be charged out to the customer for this service and include those charges on this line.)</t>
        </r>
      </text>
    </comment>
    <comment ref="F54" authorId="0" shapeId="0" xr:uid="{00000000-0006-0000-0000-00002D000000}">
      <text>
        <r>
          <rPr>
            <sz val="10"/>
            <color rgb="FF000000"/>
            <rFont val="Arimo"/>
            <scheme val="minor"/>
          </rPr>
          <t>======
ID#AAABXbpZQQM
    (2024-11-06 19:24:58)
Employee Training - This is for both owners and employees. Enter all Group-related expenses, including membership fees, food, travel, and lodging. Also enter the
actual cost of training employees, including workshop fees, food, travel, and lodging</t>
        </r>
      </text>
    </comment>
    <comment ref="C55" authorId="0" shapeId="0" xr:uid="{00000000-0006-0000-0000-00002B000000}">
      <text>
        <r>
          <rPr>
            <sz val="10"/>
            <color rgb="FF000000"/>
            <rFont val="Arimo"/>
            <scheme val="minor"/>
          </rPr>
          <t>======
ID#AAABXbpZQQU
    (2024-11-06 19:24:58)
Environmental Fees - Enter all income derived from environmental fees charged on Service Repair Orders AND Shop Supplies.</t>
        </r>
      </text>
    </comment>
    <comment ref="F55" authorId="0" shapeId="0" xr:uid="{00000000-0006-0000-0000-00009A000000}">
      <text>
        <r>
          <rPr>
            <sz val="10"/>
            <color rgb="FF000000"/>
            <rFont val="Arimo"/>
            <scheme val="minor"/>
          </rPr>
          <t>======
ID#AAABXbiK1Wo
    (2024-11-06 19:24:57)
Equipment -  Maintenance/Repair - Enter the cost of maintenance and repair of all shop and office equipment. 
(NOTE: Include the cost of service contracts in this area.)</t>
        </r>
      </text>
    </comment>
    <comment ref="C56" authorId="0" shapeId="0" xr:uid="{00000000-0006-0000-0000-000016000000}">
      <text>
        <r>
          <rPr>
            <sz val="10"/>
            <color rgb="FF000000"/>
            <rFont val="Arimo"/>
            <scheme val="minor"/>
          </rPr>
          <t>======
ID#AAABXbpZQRo
    (2024-11-06 19:24:58)
Total Income - Other - Enter the sum of all shop operations income derived from sales other than those itemized above. This may include parts sales to employees, owners, officers, stockholders, vending machine sales, etc. (NOTE:This does not include rent or interest income, cash discounts earned, or debt recovery. This line does include Vendor Rebates.)</t>
        </r>
      </text>
    </comment>
    <comment ref="F56" authorId="0" shapeId="0" xr:uid="{00000000-0006-0000-0000-00002A000000}">
      <text>
        <r>
          <rPr>
            <sz val="10"/>
            <color rgb="FF000000"/>
            <rFont val="Arimo"/>
            <scheme val="minor"/>
          </rPr>
          <t>======
ID#AAABXbpZQQY
    (2024-11-06 19:24:58)
Equipment - Rent/Lease - Enter the cost of renting and leasing shop and office equipment. If this is a long term lease, subtract the monthly payment amount from
the liability (either short- or long-term) on the balance sheet, either Line 25 or 37.</t>
        </r>
      </text>
    </comment>
    <comment ref="C57" authorId="0" shapeId="0" xr:uid="{00000000-0006-0000-0000-00005D000000}">
      <text>
        <r>
          <rPr>
            <sz val="10"/>
            <color rgb="FF000000"/>
            <rFont val="Arimo"/>
            <scheme val="minor"/>
          </rPr>
          <t>======
ID#AAABXbpZQNM
    (2024-11-06 19:24:57)
Total Income/Sales - When reporting via the internet, this is an automatic calculation field, totaling Lines 71 through 78. If reporting manually, enter the total here.</t>
        </r>
      </text>
    </comment>
    <comment ref="F57" authorId="0" shapeId="0" xr:uid="{00000000-0006-0000-0000-000026000000}">
      <text>
        <r>
          <rPr>
            <sz val="10"/>
            <color rgb="FF000000"/>
            <rFont val="Arimo"/>
            <scheme val="minor"/>
          </rPr>
          <t>======
ID#AAABXbpZQQo
    (2024-11-06 19:24:58)
Equipment Updates - Enter the costs associated with updating diagnostic equipment, computer hardware/software.</t>
        </r>
      </text>
    </comment>
    <comment ref="F58" authorId="0" shapeId="0" xr:uid="{00000000-0006-0000-0000-000013000000}">
      <text>
        <r>
          <rPr>
            <sz val="10"/>
            <color rgb="FF000000"/>
            <rFont val="Arimo"/>
            <scheme val="minor"/>
          </rPr>
          <t>======
ID#AAABXbpZQR0
    (2024-11-06 19:24:58)
Freight - Enter on this line all expenses paid for INCOMING freight that is NOT added to the cost of parts.</t>
        </r>
      </text>
    </comment>
    <comment ref="C59" authorId="0" shapeId="0" xr:uid="{00000000-0006-0000-0000-00000D000000}">
      <text>
        <r>
          <rPr>
            <sz val="10"/>
            <color rgb="FF000000"/>
            <rFont val="Arimo"/>
            <scheme val="minor"/>
          </rPr>
          <t>======
ID#AAABXbpZQSM
    (2024-11-06 19:24:58)
Overview: These figures will be found on your Income Statement. If you have an amount showing in the Income/Sales field, you will need a Cost of Sales number in each category, except Line 86.</t>
        </r>
      </text>
    </comment>
    <comment ref="F59" authorId="0" shapeId="0" xr:uid="{00000000-0006-0000-0000-000085000000}">
      <text>
        <r>
          <rPr>
            <sz val="10"/>
            <color rgb="FF000000"/>
            <rFont val="Arimo"/>
            <scheme val="minor"/>
          </rPr>
          <t>======
ID#AAABXbiK1X8
    (2024-11-06 19:24:57)
Insurance -  Liability - Enter the cost of your shop/building liability policy.
If paid 1 time per year - amoritize monthly.</t>
        </r>
      </text>
    </comment>
    <comment ref="C60" authorId="0" shapeId="0" xr:uid="{00000000-0006-0000-0000-000025000000}">
      <text>
        <r>
          <rPr>
            <sz val="10"/>
            <color rgb="FF000000"/>
            <rFont val="Arimo"/>
            <scheme val="minor"/>
          </rPr>
          <t>======
ID#AAABXbpZQQs
    (2024-11-06 19:24:58)
Parts Cost - Service Repair Order - Enter the cost of all parts purchased and sold on Service Repair Orders. 
(NOTE: Do not include parts purchased to perform comeback repairs, parts purchased for employees, parts purchased for owners/employee vehicles where no Service Repair Order was written and/or no labor was performed, or parts purchased for inventory. This figure should reflect exact costs to purchases of Parts - Service Repair Order, from Line 71.)</t>
        </r>
      </text>
    </comment>
    <comment ref="F60" authorId="0" shapeId="0" xr:uid="{00000000-0006-0000-0000-00007D000000}">
      <text>
        <r>
          <rPr>
            <sz val="10"/>
            <color rgb="FF000000"/>
            <rFont val="Arimo"/>
            <scheme val="minor"/>
          </rPr>
          <t>======
ID#AAABXbpZQLM
    (2024-11-06 19:24:57)
Insurance - Other - Enter the cost of all other insurance with the exception of health insurance and workman’s compensation insurance. Example: auto insurance, buy-sell life insurance, key-person insurance, etc.
If paid 1 time per year - amoritize monthly.</t>
        </r>
      </text>
    </comment>
    <comment ref="C61" authorId="0" shapeId="0" xr:uid="{00000000-0006-0000-0000-000038000000}">
      <text>
        <r>
          <rPr>
            <sz val="10"/>
            <color rgb="FF000000"/>
            <rFont val="Arimo"/>
            <scheme val="minor"/>
          </rPr>
          <t>======
ID#AAABXbpZQPg
    (2024-11-06 19:24:58)
Parts Costs - Other - Enter the cost of any large unit part assemblies such as engines/transmissions that do not conform to your normal parts matrix. The costs you report here should not be included in your regular parts cost category (Line 80). 
(NOTE: Do not include parts purchased to effect comeback repairs or for inventory. Include parts purchased for employees vehicles where no repair order was written and/or no labor was performed. This figure should reflect exact costs to purchase Parts - Other, from Line 72.)</t>
        </r>
      </text>
    </comment>
    <comment ref="F61" authorId="0" shapeId="0" xr:uid="{00000000-0006-0000-0000-000099000000}">
      <text>
        <r>
          <rPr>
            <sz val="10"/>
            <color rgb="FF000000"/>
            <rFont val="Arimo"/>
            <scheme val="minor"/>
          </rPr>
          <t>======
ID#AAABXbiK1Ws
    (2024-11-06 19:24:57)
Insurance -Workman’s Comp - Enter on this line the amount that you pay to your state for your company’s portion of workman’s compensation type of insurance.
If paid 1 time per year - amoritize monthly.</t>
        </r>
      </text>
    </comment>
    <comment ref="C62" authorId="0" shapeId="0" xr:uid="{00000000-0006-0000-0000-00001E000000}">
      <text>
        <r>
          <rPr>
            <sz val="10"/>
            <color rgb="FF000000"/>
            <rFont val="Arimo"/>
            <scheme val="minor"/>
          </rPr>
          <t>======
ID#AAABXbpZQRI
    (2024-11-06 19:24:58)
Labor - Technician Wages - Enter the direct wages paid to technicians, including bonuses. 
(NOTE: Do not include vacation or holiday pay, sick leave, uniforms or any other employee benefits. These benefits should be entered on Line 115, Employee Benefits. Line 82 should only include figures reflecting exact gross wages as cost of sales for Labor — Retail/ Wholesale,from Line 73.) 
(Also NOTE: If you pay your technicians a bonus,include it in the cost of sales for labor. If the bonus amount paid in one month exceeds the amount of sales for labor, you will have to make adjustments to your reports for the months the bonus covered by amortizing the bonus amount over the entire period.)</t>
        </r>
      </text>
    </comment>
    <comment ref="F62" authorId="0" shapeId="0" xr:uid="{00000000-0006-0000-0000-000004000000}">
      <text>
        <r>
          <rPr>
            <sz val="10"/>
            <color rgb="FF000000"/>
            <rFont val="Arimo"/>
            <scheme val="minor"/>
          </rPr>
          <t>======
ID#AAABXbpZQSw
    (2024-11-06 19:24:58)
Interest - Enter all interest expenses with the exception of mortgage interest. (See Line 113 for instructions on building interest.)
Example: Note or installment loan interest, interest on tools and equipment loans, etc.</t>
        </r>
      </text>
    </comment>
    <comment ref="C63" authorId="0" shapeId="0" xr:uid="{00000000-0006-0000-0000-000054000000}">
      <text>
        <r>
          <rPr>
            <sz val="10"/>
            <color rgb="FF000000"/>
            <rFont val="Arimo"/>
            <scheme val="minor"/>
          </rPr>
          <t>======
ID#AAABXbpZQNw
    (2024-11-06 19:24:57)
Sublet - Enter the cost of all sublet LABOR purchased and sold on Service Repair Orders. (NOTE: Do not include sublet purchased to perform comeback repairs. This figure should reflect exact costs for Sublet, Line 74. Also 
(NOTE: Do include any sublet parts purchased and sold on Line 80 Parts Purchases - Service Repair Order.)</t>
        </r>
      </text>
    </comment>
    <comment ref="F63" authorId="0" shapeId="0" xr:uid="{00000000-0006-0000-0000-000001000000}">
      <text>
        <r>
          <rPr>
            <sz val="10"/>
            <color rgb="FF000000"/>
            <rFont val="Arimo"/>
            <scheme val="minor"/>
          </rPr>
          <t>======
ID#AAABXbpZQS8
    (2024-11-06 19:24:58)
Internet Charges - Enter on this line all expenses related to your Internet access such as cable, phone (Cable, DSL,T-1, etc.), Satellite, WWAN, spam filtering, maintenance, repairs and upgrades that include charges for an  addition to base fees.</t>
        </r>
      </text>
    </comment>
    <comment ref="C64" authorId="0" shapeId="0" xr:uid="{00000000-0006-0000-0000-0000A1000000}">
      <text>
        <r>
          <rPr>
            <sz val="10"/>
            <color rgb="FF000000"/>
            <rFont val="Arimo"/>
            <scheme val="minor"/>
          </rPr>
          <t>======
ID#AAABXbiK1WM
    (2024-11-06 19:24:57)
Tires - Enter the cost of all tires purchased and sold on Service Repair Orders. 
(NOTE: Do not include tires purchased for inventory. This figure should reflect exact costs for Tires, from Line 75.)</t>
        </r>
      </text>
    </comment>
    <comment ref="F64" authorId="0" shapeId="0" xr:uid="{00000000-0006-0000-0000-00002E000000}">
      <text>
        <r>
          <rPr>
            <sz val="10"/>
            <color rgb="FF000000"/>
            <rFont val="Arimo"/>
            <scheme val="minor"/>
          </rPr>
          <t>======
ID#AAABXbpZQQI
    (2024-11-06 19:24:58)
IT Services - Enter on this line all expenses related to the repair and maintenance of your computers and all other peripherals, installation of software upgrades or maintenance, networks, etc. by outside vendors including technical support, even if it’s on a subscription basis.</t>
        </r>
      </text>
    </comment>
    <comment ref="C65" authorId="0" shapeId="0" xr:uid="{00000000-0006-0000-0000-000011000000}">
      <text>
        <r>
          <rPr>
            <sz val="10"/>
            <color rgb="FF000000"/>
            <rFont val="Arimo"/>
            <scheme val="minor"/>
          </rPr>
          <t>======
ID#AAABXbpZQR8
    (2024-11-06 19:24:58)
Towing - Enter the cost of all towing purchased and sold on Service Repair Orders. 
(NOTE: Do not include towing purchased as part of comeback repairs. This figure should reflect exact costs for Towing, from Line 76.)
(Also NOTE: If you own your tow truck, establish a cost-per-tow similar to that of other towing companies in your area and list the cost on this line.)</t>
        </r>
      </text>
    </comment>
    <comment ref="F65" authorId="0" shapeId="0" xr:uid="{00000000-0006-0000-0000-0000A8000000}">
      <text>
        <r>
          <rPr>
            <sz val="10"/>
            <color rgb="FF000000"/>
            <rFont val="Arimo"/>
            <scheme val="minor"/>
          </rPr>
          <t>======
ID#AAABXbiK1Vw
    (2024-11-06 19:24:57)
Laundry &amp; Uniforms - Enter the cost of all laundering including shop towels, uniforms, fender covers, restroom towels, and rugs.
(NOTE: this also pertains to the purchase of uniforms.)</t>
        </r>
      </text>
    </comment>
    <comment ref="C66" authorId="0" shapeId="0" xr:uid="{00000000-0006-0000-0000-000084000000}">
      <text>
        <r>
          <rPr>
            <sz val="10"/>
            <color rgb="FF000000"/>
            <rFont val="Arimo"/>
            <scheme val="minor"/>
          </rPr>
          <t>======
ID#AAABXbiK1YA
    (2024-11-06 19:24:57)
Environmental Fees - No entry necessary here as there is no easily determined direct cost of sales for this income.
(NOTE: We suggest that each member keep a journal of easily determined environmental costs such as mandated equipment, related environmental employee training, and hazardous waste disposal. These costs for composite purposes will not be listed in your report.)</t>
        </r>
      </text>
    </comment>
    <comment ref="F66" authorId="0" shapeId="0" xr:uid="{00000000-0006-0000-0000-000053000000}">
      <text>
        <r>
          <rPr>
            <sz val="10"/>
            <color rgb="FF000000"/>
            <rFont val="Arimo"/>
            <scheme val="minor"/>
          </rPr>
          <t>======
ID#AAABXbpZQN0
    (2024-11-06 19:24:57)
Legal - Enter on this line all expenses related to the use of legal services for company purposes.</t>
        </r>
      </text>
    </comment>
    <comment ref="C67" authorId="0" shapeId="0" xr:uid="{00000000-0006-0000-0000-00001A000000}">
      <text>
        <r>
          <rPr>
            <sz val="10"/>
            <color rgb="FF000000"/>
            <rFont val="Arimo"/>
            <scheme val="minor"/>
          </rPr>
          <t>======
ID#AAABXbpZQRU
    (2024-11-06 19:24:58)
Total Cost of Sales - Other - Enter the cost of all other sales related to the sales income reported on Line 78.</t>
        </r>
      </text>
    </comment>
    <comment ref="F67" authorId="0" shapeId="0" xr:uid="{00000000-0006-0000-0000-000078000000}">
      <text>
        <r>
          <rPr>
            <sz val="10"/>
            <color rgb="FF000000"/>
            <rFont val="Arimo"/>
            <scheme val="minor"/>
          </rPr>
          <t>======
ID#AAABXbpZQLg
    (2024-11-06 19:24:57)
Postage - Enter on this line all actual cost of postage. (If you are using a postage machine, the monthly rental or lease would be included on line 118 Equipment Rent/Lease. Supplies for the machine would be included on Line 142 Supplies-Office.)</t>
        </r>
      </text>
    </comment>
    <comment ref="C68" authorId="0" shapeId="0" xr:uid="{00000000-0006-0000-0000-000086000000}">
      <text>
        <r>
          <rPr>
            <sz val="10"/>
            <color rgb="FF000000"/>
            <rFont val="Arimo"/>
            <scheme val="minor"/>
          </rPr>
          <t>======
ID#AAABXbiK1X4
    (2024-11-06 19:24:57)
Total Cost of Sales - When reporting via the internet, this is an automatic calculation field, totaling Lines 80 through 87. If reporting manually, enter the total here.</t>
        </r>
      </text>
    </comment>
    <comment ref="F68" authorId="0" shapeId="0" xr:uid="{00000000-0006-0000-0000-000069000000}">
      <text>
        <r>
          <rPr>
            <sz val="10"/>
            <color rgb="FF000000"/>
            <rFont val="Arimo"/>
            <scheme val="minor"/>
          </rPr>
          <t>======
ID#AAABXbpZQMc
    (2024-11-06 19:24:57)
Salaries - Clerical, Office - Enter the salaries of all employees entered on Line 54. (NOTE: Do not enter supervisory or management salaries in this area.)</t>
        </r>
      </text>
    </comment>
    <comment ref="F69" authorId="0" shapeId="0" xr:uid="{00000000-0006-0000-0000-0000AB000000}">
      <text>
        <r>
          <rPr>
            <sz val="10"/>
            <color rgb="FF000000"/>
            <rFont val="Arimo"/>
            <scheme val="minor"/>
          </rPr>
          <t>======
ID#AAABXbiK1Vk
    (2024-11-06 19:24:57)
Salaries - Maintenance/Shop - Enter the salaries of all employees who were entered on Line 55. General Service Tech's who bill less than 20 hours should go here.
(NOTE: Do not enter supervisory or management salaries in this area.)</t>
        </r>
      </text>
    </comment>
    <comment ref="C70" authorId="0" shapeId="0" xr:uid="{00000000-0006-0000-0000-00004A000000}">
      <text>
        <r>
          <rPr>
            <sz val="10"/>
            <color rgb="FF000000"/>
            <rFont val="Arimo"/>
            <scheme val="minor"/>
          </rPr>
          <t>======
ID#AAABXbpZQOY
    (2024-11-06 19:24:57)
Overview: These figures will be found on your Income Statement.</t>
        </r>
      </text>
    </comment>
    <comment ref="F70" authorId="0" shapeId="0" xr:uid="{00000000-0006-0000-0000-000039000000}">
      <text>
        <r>
          <rPr>
            <sz val="10"/>
            <color rgb="FF000000"/>
            <rFont val="Arimo"/>
            <scheme val="minor"/>
          </rPr>
          <t>======
ID#AAABXbpZQPc
    (2024-11-06 19:24:58)
Salaries - Management - Enter the salaries of all employees who qualify as management personnel based on the definition given in Employee Information above and entered on Line 49.</t>
        </r>
      </text>
    </comment>
    <comment ref="C71" authorId="0" shapeId="0" xr:uid="{00000000-0006-0000-0000-000012000000}">
      <text>
        <r>
          <rPr>
            <sz val="10"/>
            <color rgb="FF000000"/>
            <rFont val="Arimo"/>
            <scheme val="minor"/>
          </rPr>
          <t>======
ID#AAABXbpZQR4
    (2024-11-06 19:24:58)
Parts — Service Repair Orders - When reporting via the internet, this is an automatic calculation field. If reporting manually, subtract Line 80 from Line 71 and enter the total here.</t>
        </r>
      </text>
    </comment>
    <comment ref="F71" authorId="0" shapeId="0" xr:uid="{00000000-0006-0000-0000-00008F000000}">
      <text>
        <r>
          <rPr>
            <sz val="10"/>
            <color rgb="FF000000"/>
            <rFont val="Arimo"/>
            <scheme val="minor"/>
          </rPr>
          <t>======
ID#AAABXbiK1XU
    (2024-11-06 19:24:57)
Salaries - Owners - Enter any salary that you draw as an owner which is in excess of any position you occupy. 
Example:You are an owner and your day primarily consists of writing service, taking care of customers and dispatching the work. You do not have a service advisor and you pay yourself $5000 per month. If you could hire a service advisor to replace you for $3000 per month, place $3000 on Line 127 Salaries, Service Advisors, and place the difference ($5000 (-) $3000) of $2000 on this Line.</t>
        </r>
      </text>
    </comment>
    <comment ref="C72" authorId="0" shapeId="0" xr:uid="{00000000-0006-0000-0000-000082000000}">
      <text>
        <r>
          <rPr>
            <sz val="10"/>
            <color rgb="FF000000"/>
            <rFont val="Arimo"/>
            <scheme val="minor"/>
          </rPr>
          <t>======
ID#AAABXbiK1YI
    (2024-11-06 19:24:57)
Parts - Other - When reporting via the internet, this is an automatic calculation field. If reporting manually, subtract Line 81 from Line 72 and enter the total here.</t>
        </r>
      </text>
    </comment>
    <comment ref="F72" authorId="0" shapeId="0" xr:uid="{00000000-0006-0000-0000-000028000000}">
      <text>
        <r>
          <rPr>
            <sz val="10"/>
            <color rgb="FF000000"/>
            <rFont val="Arimo"/>
            <scheme val="minor"/>
          </rPr>
          <t>======
ID#AAABXbpZQQg
    (2024-11-06 19:24:58)
Salaries - Parts Persons - Enter the salaries of all employees who were entered on Line 56. (NOTE: Do not enter supervisory or management salaries in this area.)</t>
        </r>
      </text>
    </comment>
    <comment ref="C73" authorId="0" shapeId="0" xr:uid="{00000000-0006-0000-0000-000024000000}">
      <text>
        <r>
          <rPr>
            <sz val="10"/>
            <color rgb="FF000000"/>
            <rFont val="Arimo"/>
            <scheme val="minor"/>
          </rPr>
          <t>======
ID#AAABXbpZQQw
    (2024-11-06 19:24:58)
Labor - Retail/Wholesale - When reporting via the internet, this is an automatic calculation field. If reporting manually, subtract Line 82 from Line 73 and enter the total here.</t>
        </r>
      </text>
    </comment>
    <comment ref="F73" authorId="0" shapeId="0" xr:uid="{00000000-0006-0000-0000-00003B000000}">
      <text>
        <r>
          <rPr>
            <sz val="10"/>
            <color rgb="FF000000"/>
            <rFont val="Arimo"/>
            <scheme val="minor"/>
          </rPr>
          <t>======
ID#AAABXbpZQPU
    (2024-11-06 19:24:58)
Salaries - Sales Persons - Enter the salaries of all persons who qualify as outside sales persons based on the definition given in Employee Information above, and entered on Line 53.</t>
        </r>
      </text>
    </comment>
    <comment ref="C74" authorId="0" shapeId="0" xr:uid="{00000000-0006-0000-0000-0000AC000000}">
      <text>
        <r>
          <rPr>
            <sz val="10"/>
            <color rgb="FF000000"/>
            <rFont val="Arimo"/>
            <scheme val="minor"/>
          </rPr>
          <t>======
ID#AAABXbiK1Vg
    (2024-11-06 19:24:57)
Sublet - When reporting via the internet, this is an automatic calculation field. If reporting manually, subtract Line 83 from Line 74 and enter the total here.</t>
        </r>
      </text>
    </comment>
    <comment ref="F74" authorId="0" shapeId="0" xr:uid="{00000000-0006-0000-0000-000061000000}">
      <text>
        <r>
          <rPr>
            <sz val="10"/>
            <color rgb="FF000000"/>
            <rFont val="Arimo"/>
            <scheme val="minor"/>
          </rPr>
          <t>======
ID#AAABXbpZQM8
    (2024-11-06 19:24:57)
Salaries - Service Advisors - Enter the salaries of all employees who were entered on Line 57. 
(NOTE: Do not enter supervisory or management salaries in this area.)</t>
        </r>
      </text>
    </comment>
    <comment ref="C75" authorId="0" shapeId="0" xr:uid="{00000000-0006-0000-0000-000058000000}">
      <text>
        <r>
          <rPr>
            <sz val="10"/>
            <color rgb="FF000000"/>
            <rFont val="Arimo"/>
            <scheme val="minor"/>
          </rPr>
          <t>======
ID#AAABXbpZQNg
    (2024-11-06 19:24:57)
Tires - When reporting via the internet, this is an automatic calculation field. If reporting manually, subtract Line 84 from Line 75, and enter the total here.</t>
        </r>
      </text>
    </comment>
    <comment ref="F75" authorId="0" shapeId="0" xr:uid="{00000000-0006-0000-0000-000009000000}">
      <text>
        <r>
          <rPr>
            <sz val="10"/>
            <color rgb="FF000000"/>
            <rFont val="Arimo"/>
            <scheme val="minor"/>
          </rPr>
          <t>======
ID#AAABXbpZQSc
    (2024-11-06 19:24:58)
Salaries - Supervisory, Office - Enter the salaries of all employees who qualify as office supervisory personnel based on the definition given in Employee Information above, and entered on Line 50.</t>
        </r>
      </text>
    </comment>
    <comment ref="C76" authorId="0" shapeId="0" xr:uid="{00000000-0006-0000-0000-0000A3000000}">
      <text>
        <r>
          <rPr>
            <sz val="10"/>
            <color rgb="FF000000"/>
            <rFont val="Arimo"/>
            <scheme val="minor"/>
          </rPr>
          <t>======
ID#AAABXbiK1WE
    (2024-11-06 19:24:57)
Towing - When reporting via the internet, this is an automatic calculation field. If reporting manually, subtract Line 85 from Line 76 and enter the total here.</t>
        </r>
      </text>
    </comment>
    <comment ref="F76" authorId="0" shapeId="0" xr:uid="{00000000-0006-0000-0000-000065000000}">
      <text>
        <r>
          <rPr>
            <sz val="10"/>
            <color rgb="FF000000"/>
            <rFont val="Arimo"/>
            <scheme val="minor"/>
          </rPr>
          <t>======
ID#AAABXbpZQMs
    (2024-11-06 19:24:57)
Salaries - Supervisory, Parts - Enter the salaries of all employees who qualify as parts supervisory personnel based on the definition given in Employee Information above, and entered on Line 51.</t>
        </r>
      </text>
    </comment>
    <comment ref="C77" authorId="0" shapeId="0" xr:uid="{00000000-0006-0000-0000-000033000000}">
      <text>
        <r>
          <rPr>
            <sz val="10"/>
            <color rgb="FF000000"/>
            <rFont val="Arimo"/>
            <scheme val="minor"/>
          </rPr>
          <t>======
ID#AAABXbpZQP4
    (2024-11-06 19:24:58)
Environmental Fees - When reporting via the internet, this is an automatic calculation field. If reporting manually, enter the total from Line 77 here.</t>
        </r>
      </text>
    </comment>
    <comment ref="F77" authorId="0" shapeId="0" xr:uid="{00000000-0006-0000-0000-00005C000000}">
      <text>
        <r>
          <rPr>
            <sz val="10"/>
            <color rgb="FF000000"/>
            <rFont val="Arimo"/>
            <scheme val="minor"/>
          </rPr>
          <t>======
ID#AAABXbpZQNQ
    (2024-11-06 19:24:57)
Salaries - Supervisory, Shop - Enter the salaries of all employees who qualify as shop supervisory personnel based on the definition given in Employee Information above, and entered on Line 52.</t>
        </r>
      </text>
    </comment>
    <comment ref="C78" authorId="0" shapeId="0" xr:uid="{00000000-0006-0000-0000-00008C000000}">
      <text>
        <r>
          <rPr>
            <sz val="10"/>
            <color rgb="FF000000"/>
            <rFont val="Arimo"/>
            <scheme val="minor"/>
          </rPr>
          <t>======
ID#AAABXbiK1Xg
    (2024-11-06 19:24:57)
Total Gross Profit - Other - When reporting via the internet, this is an automatic calculation field. If reporting manually, subtract Line 87 from Line 78 and enter the total here.</t>
        </r>
      </text>
    </comment>
    <comment ref="F78" authorId="0" shapeId="0" xr:uid="{00000000-0006-0000-0000-0000A5000000}">
      <text>
        <r>
          <rPr>
            <sz val="10"/>
            <color rgb="FF000000"/>
            <rFont val="Arimo"/>
            <scheme val="minor"/>
          </rPr>
          <t>======
ID#AAABXbiK1V8
    (2024-11-06 19:24:57)
Small Tool Purchases - Enter the costs of small tools purchased for under $1000 in this line. (Any purchases over $1000 MAY be either amortized over 6-12 months on this line or set up as an Equipment Asset and amortized following your
accountants normal accounting process.)</t>
        </r>
      </text>
    </comment>
    <comment ref="C79" authorId="0" shapeId="0" xr:uid="{00000000-0006-0000-0000-000068000000}">
      <text>
        <r>
          <rPr>
            <sz val="10"/>
            <color rgb="FF000000"/>
            <rFont val="Arimo"/>
            <scheme val="minor"/>
          </rPr>
          <t>======
ID#AAABXbpZQMg
    (2024-11-06 19:24:57)
Total Gross Profit - When reporting via the internet, this is an automatic calculation field. If reporting manually, subtract Line 88 from Line 79 and enter the total here.</t>
        </r>
      </text>
    </comment>
    <comment ref="F79" authorId="0" shapeId="0" xr:uid="{00000000-0006-0000-0000-000036000000}">
      <text>
        <r>
          <rPr>
            <sz val="10"/>
            <color rgb="FF000000"/>
            <rFont val="Arimo"/>
            <scheme val="minor"/>
          </rPr>
          <t>======
ID#AAABXbpZQPo
    (2024-11-06 19:24:58)
Supplies - Building - Enter all supplies such as mops,brooms, floor soap, grease sweep, etc. 
(NOTE: Do not include items that are for resale such as carburetor cleaners, lubricants, nuts and bolts, etc.)</t>
        </r>
      </text>
    </comment>
    <comment ref="F80" authorId="0" shapeId="0" xr:uid="{00000000-0006-0000-0000-00000E000000}">
      <text>
        <r>
          <rPr>
            <sz val="10"/>
            <color rgb="FF000000"/>
            <rFont val="Arimo"/>
            <scheme val="minor"/>
          </rPr>
          <t>======
ID#AAABXbpZQSI
    (2024-11-06 19:24:58)
Supplies - Office - Enter all supplies that are considered office supplies such as toner cartridges, repair orders, pens and pencils, paper, file folders, etc.</t>
        </r>
      </text>
    </comment>
    <comment ref="C81" authorId="0" shapeId="0" xr:uid="{00000000-0006-0000-0000-000020000000}">
      <text>
        <r>
          <rPr>
            <sz val="10"/>
            <color rgb="FF000000"/>
            <rFont val="Arimo"/>
            <scheme val="minor"/>
          </rPr>
          <t>======
ID#AAABXbpZQRE
    (2024-11-06 19:24:58)
Overview: These figures will be found on your Income Statement.</t>
        </r>
      </text>
    </comment>
    <comment ref="F81" authorId="0" shapeId="0" xr:uid="{00000000-0006-0000-0000-000035000000}">
      <text>
        <r>
          <rPr>
            <sz val="10"/>
            <color rgb="FF000000"/>
            <rFont val="Arimo"/>
            <scheme val="minor"/>
          </rPr>
          <t>======
ID#AAABXbpZQPs
    (2024-11-06 19:24:58)
Taxes - Business - Enter all business taxes such as B&amp;O taxes, city business taxes, sales tax paid on items purchased by the company, personal property taxes other than on a building, etc.</t>
        </r>
      </text>
    </comment>
    <comment ref="C82" authorId="0" shapeId="0" xr:uid="{00000000-0006-0000-0000-00003F000000}">
      <text>
        <r>
          <rPr>
            <sz val="10"/>
            <color rgb="FF000000"/>
            <rFont val="Arimo"/>
            <scheme val="minor"/>
          </rPr>
          <t>======
ID#AAABXbpZQPE
    (2024-11-06 19:24:58)
Gain - Disbursement of Assets - Enter any gain from the sale of assets. You calculate this by subtracting the sale income from the depreciated balance. 
(Note: If this is a negative figure it would be a loss and recorded on Line 104.)</t>
        </r>
      </text>
    </comment>
    <comment ref="F82" authorId="0" shapeId="0" xr:uid="{00000000-0006-0000-0000-00005B000000}">
      <text>
        <r>
          <rPr>
            <sz val="10"/>
            <color rgb="FF000000"/>
            <rFont val="Arimo"/>
            <scheme val="minor"/>
          </rPr>
          <t>======
ID#AAABXbpZQNU
    (2024-11-06 19:24:57)
Taxes, Payroll - Enter the employers portion only of all payroll taxes, i.e. social security, Medicaid, etc.</t>
        </r>
      </text>
    </comment>
    <comment ref="C83" authorId="0" shapeId="0" xr:uid="{00000000-0006-0000-0000-00007E000000}">
      <text>
        <r>
          <rPr>
            <sz val="10"/>
            <color rgb="FF000000"/>
            <rFont val="Arimo"/>
            <scheme val="minor"/>
          </rPr>
          <t>======
ID#AAABXbpZQLI
    (2024-11-06 19:24:57)
Cash Discounts Earned - Enter the sum of all cash discounts earned. 
(NOTE: Do not subtract these discounts from your parts costs that you entered on Line 80-81, vendor rebates would be reported on line 78.)</t>
        </r>
      </text>
    </comment>
    <comment ref="F83" authorId="0" shapeId="0" xr:uid="{00000000-0006-0000-0000-000030000000}">
      <text>
        <r>
          <rPr>
            <sz val="10"/>
            <color rgb="FF000000"/>
            <rFont val="Arimo"/>
            <scheme val="minor"/>
          </rPr>
          <t>======
ID#AAABXbpZQQA
    (2024-11-06 19:24:58)
Telephones - Enter the cost of your telephone services.
(NOTE: Do not include the portion of your telephone bill that is for yellow page advertising as that expense is broken out and reported on Line 108. ISP fees and related modem rental fees are expensed on Line 125.)</t>
        </r>
      </text>
    </comment>
    <comment ref="C84" authorId="0" shapeId="0" xr:uid="{00000000-0006-0000-0000-000096000000}">
      <text>
        <r>
          <rPr>
            <sz val="10"/>
            <color rgb="FF000000"/>
            <rFont val="Arimo"/>
            <scheme val="minor"/>
          </rPr>
          <t>======
ID#AAABXbiK1W4
    (2024-11-06 19:24:57)
Interest Earned - Enter the sum of all interest earned,i.e. accounts receivable interest, etc.</t>
        </r>
      </text>
    </comment>
    <comment ref="F84" authorId="0" shapeId="0" xr:uid="{00000000-0006-0000-0000-00005E000000}">
      <text>
        <r>
          <rPr>
            <sz val="10"/>
            <color rgb="FF000000"/>
            <rFont val="Arimo"/>
            <scheme val="minor"/>
          </rPr>
          <t>======
ID#AAABXbpZQNI
    (2024-11-06 19:24:57)
Travel/Entertainment - Enter all costs for business travel and entertainment such as lodging, airfare, meals, car rental, tickets to sporting events, etc. that are not
employee training benefits.</t>
        </r>
      </text>
    </comment>
    <comment ref="C85" authorId="0" shapeId="0" xr:uid="{00000000-0006-0000-0000-00009B000000}">
      <text>
        <r>
          <rPr>
            <sz val="10"/>
            <color rgb="FF000000"/>
            <rFont val="Arimo"/>
            <scheme val="minor"/>
          </rPr>
          <t>======
ID#AAABXbiK1Wk
    (2024-11-06 19:24:57)
Bad Debt Recovery - Enter the sum of all monies recovered from debts that had been written off.</t>
        </r>
      </text>
    </comment>
    <comment ref="F85" authorId="0" shapeId="0" xr:uid="{00000000-0006-0000-0000-000008000000}">
      <text>
        <r>
          <rPr>
            <sz val="10"/>
            <color rgb="FF000000"/>
            <rFont val="Arimo"/>
            <scheme val="minor"/>
          </rPr>
          <t>======
ID#AAABXbpZQSg
    (2024-11-06 19:24:58)
Utilities - Enter the total cost of water, trash disposal, sewer, electricity, and gas used for building heat.</t>
        </r>
      </text>
    </comment>
    <comment ref="C86" authorId="0" shapeId="0" xr:uid="{00000000-0006-0000-0000-000037000000}">
      <text>
        <r>
          <rPr>
            <sz val="10"/>
            <color rgb="FF000000"/>
            <rFont val="Arimo"/>
            <scheme val="minor"/>
          </rPr>
          <t>======
ID#AAABXbpZQPk
    (2024-11-06 19:24:58)
Other Income - Total - Enter the sum of any other income that was earned from sources other than those listed on Line 71 through 79.</t>
        </r>
      </text>
    </comment>
    <comment ref="F86" authorId="0" shapeId="0" xr:uid="{00000000-0006-0000-0000-000003000000}">
      <text>
        <r>
          <rPr>
            <sz val="10"/>
            <color rgb="FF000000"/>
            <rFont val="Arimo"/>
            <scheme val="minor"/>
          </rPr>
          <t>======
ID#AAABXbpZQS0
    (2024-11-06 19:24:58)
Vehicle Expense - Enter the total amount at cost of maintaining your shop vehicles including repairs, maintenance, and fuel. 
(NOTE: Insurance is not included in this expense account and should be reported on Line 122.)</t>
        </r>
      </text>
    </comment>
    <comment ref="C87" authorId="0" shapeId="0" xr:uid="{00000000-0006-0000-0000-00007A000000}">
      <text>
        <r>
          <rPr>
            <sz val="10"/>
            <color rgb="FF000000"/>
            <rFont val="Arimo"/>
            <scheme val="minor"/>
          </rPr>
          <t>======
ID#AAABXbpZQLY
    (2024-11-06 19:24:57)
Total Other Income - When reporting via the Internet, this is an automatic calculation field, totaling Lines 98 through 102. If reporting manually, enter the total here.</t>
        </r>
      </text>
    </comment>
    <comment ref="F87" authorId="0" shapeId="0" xr:uid="{00000000-0006-0000-0000-0000A2000000}">
      <text>
        <r>
          <rPr>
            <sz val="10"/>
            <color rgb="FF000000"/>
            <rFont val="Arimo"/>
            <scheme val="minor"/>
          </rPr>
          <t>======
ID#AAABXbiK1WI
    (2024-11-06 19:24:57)
Other Operating Expenses Combined - Enter all operating expenses that were not itemized above on Lines 107 through 148.
Includes shop supply expenses, charitable giving, warranty, etc</t>
        </r>
      </text>
    </comment>
    <comment ref="F88" authorId="0" shapeId="0" xr:uid="{00000000-0006-0000-0000-000022000000}">
      <text>
        <r>
          <rPr>
            <sz val="10"/>
            <color rgb="FF000000"/>
            <rFont val="Arimo"/>
            <scheme val="minor"/>
          </rPr>
          <t>======
ID#AAABXbpZQQ4
    (2024-11-06 19:24:58)
Total Operating Expenses - When reporting via the internet, this is an automatic calculation field totaling Lines 107 through 149. If reporting manually, enter the total here.</t>
        </r>
      </text>
    </comment>
    <comment ref="C89" authorId="0" shapeId="0" xr:uid="{00000000-0006-0000-0000-000047000000}">
      <text>
        <r>
          <rPr>
            <sz val="10"/>
            <color rgb="FF000000"/>
            <rFont val="Arimo"/>
            <scheme val="minor"/>
          </rPr>
          <t>======
ID#AAABXbpZQOk
    (2024-11-06 19:24:57)
Overview: These figures will be found on your Income Statement.</t>
        </r>
      </text>
    </comment>
    <comment ref="C90" authorId="0" shapeId="0" xr:uid="{00000000-0006-0000-0000-00002C000000}">
      <text>
        <r>
          <rPr>
            <sz val="10"/>
            <color rgb="FF000000"/>
            <rFont val="Arimo"/>
            <scheme val="minor"/>
          </rPr>
          <t>======
ID#AAABXbpZQQQ
    (2024-11-06 19:24:58)
Loss - Disbursement of Assets - Enter any loss from the sale of assets. You would calculate this by subtracting the sale income from the depreciated balance. 
(NOTE: If this is a positive figure it would be a gain and recorded on Line 98.)</t>
        </r>
      </text>
    </comment>
    <comment ref="F90" authorId="0" shapeId="0" xr:uid="{00000000-0006-0000-0000-00008B000000}">
      <text>
        <r>
          <rPr>
            <sz val="10"/>
            <color rgb="FF000000"/>
            <rFont val="Arimo"/>
            <scheme val="minor"/>
          </rPr>
          <t>======
ID#AAABXbiK1Xk
    (2024-11-06 19:24:57)
Overview: These figures will be found on your Income Statement.</t>
        </r>
      </text>
    </comment>
    <comment ref="C91" authorId="0" shapeId="0" xr:uid="{00000000-0006-0000-0000-000062000000}">
      <text>
        <r>
          <rPr>
            <sz val="10"/>
            <color rgb="FF000000"/>
            <rFont val="Arimo"/>
            <scheme val="minor"/>
          </rPr>
          <t>======
ID#AAABXbpZQM4
    (2024-11-06 19:24:57)
Other Expenses - Total - Enter the sum of any other expenses that are not listed under the cost of sales or that would not be considered a normal operating expense. You would also list your depreciation here.</t>
        </r>
      </text>
    </comment>
    <comment ref="F91" authorId="0" shapeId="0" xr:uid="{00000000-0006-0000-0000-00004B000000}">
      <text>
        <r>
          <rPr>
            <sz val="10"/>
            <color rgb="FF000000"/>
            <rFont val="Arimo"/>
            <scheme val="minor"/>
          </rPr>
          <t>======
ID#AAABXbpZQOQ
    (2024-11-06 19:24:57)
Total Income/Sales - When reporting via the internet, this is an automatic calculation field. If reporting manually, enter the sum from Line 79. 
(NOTE: Be certain that this
figure is Sales before discounts are subtracted.)</t>
        </r>
      </text>
    </comment>
    <comment ref="C92" authorId="0" shapeId="0" xr:uid="{00000000-0006-0000-0000-000015000000}">
      <text>
        <r>
          <rPr>
            <sz val="10"/>
            <color rgb="FF000000"/>
            <rFont val="Arimo"/>
            <scheme val="minor"/>
          </rPr>
          <t>======
ID#AAABXbpZQRs
    (2024-11-06 19:24:58)
Total Other Expenses - When reporting via the internet, this is an automatic calculation field totaling Lines 104 through 105. If reporting manually, enter the
total here.</t>
        </r>
      </text>
    </comment>
    <comment ref="F92" authorId="0" shapeId="0" xr:uid="{00000000-0006-0000-0000-00001F000000}">
      <text>
        <r>
          <rPr>
            <sz val="10"/>
            <color rgb="FF000000"/>
            <rFont val="Arimo"/>
            <scheme val="minor"/>
          </rPr>
          <t>======
ID#AAABXbpZQRA
    (2024-11-06 19:24:58)
Total Cost of Sales - When reporting via the internet, this is an automatic calculation field. If reporting manually, enter the sum from Line 88.</t>
        </r>
      </text>
    </comment>
    <comment ref="F93" authorId="0" shapeId="0" xr:uid="{00000000-0006-0000-0000-000057000000}">
      <text>
        <r>
          <rPr>
            <sz val="10"/>
            <color rgb="FF000000"/>
            <rFont val="Arimo"/>
            <scheme val="minor"/>
          </rPr>
          <t>======
ID#AAABXbpZQNk
    (2024-11-06 19:24:57)
Total Gross Profit - When reporting via the internet, this is an automatic calculation field. If reporting manually, enter the sum from Line 97.</t>
        </r>
      </text>
    </comment>
    <comment ref="C94" authorId="0" shapeId="0" xr:uid="{00000000-0006-0000-0000-000021000000}">
      <text>
        <r>
          <rPr>
            <sz val="10"/>
            <color rgb="FF000000"/>
            <rFont val="Arimo"/>
            <scheme val="minor"/>
          </rPr>
          <t>======
ID#AAABXbpZQQ8
    (2024-11-06 19:24:58)
Overview: These figures will be found on your Income Statement.</t>
        </r>
      </text>
    </comment>
    <comment ref="F94" authorId="0" shapeId="0" xr:uid="{00000000-0006-0000-0000-000081000000}">
      <text>
        <r>
          <rPr>
            <sz val="10"/>
            <color rgb="FF000000"/>
            <rFont val="Arimo"/>
            <scheme val="minor"/>
          </rPr>
          <t>======
ID#AAABXbiK1YM
    (2024-11-06 19:24:57)
SalesDiscounts/Adjustments/Refunds - Enter the sum of all sales coupons, policy adjustments, and refunds. All discounts given on a Repair Order.
Example: You performed a repair on a customer vehicle that required parts and/or labor and/or sublet. It did not correct the problem, and the customer demanded a refund. You refunded the customer’s money, and the refund is entered on this Line.</t>
        </r>
      </text>
    </comment>
    <comment ref="C95" authorId="0" shapeId="0" xr:uid="{00000000-0006-0000-0000-000089000000}">
      <text>
        <r>
          <rPr>
            <sz val="10"/>
            <color rgb="FF000000"/>
            <rFont val="Arimo"/>
            <scheme val="minor"/>
          </rPr>
          <t>======
ID#AAABXbiK1Xs
    (2024-11-06 19:24:57)
Accounting - Enter on this line all fees paid to outside contractors such as bookkeepers, CPAs and any other entities involved in compiling your financial statements,preparing federal and state tax forms, and preparing your company tax returns. Does not include your company staff who performs some or all of these functions.</t>
        </r>
      </text>
    </comment>
    <comment ref="F95" authorId="0" shapeId="0" xr:uid="{00000000-0006-0000-0000-00003A000000}">
      <text>
        <r>
          <rPr>
            <sz val="10"/>
            <color rgb="FF000000"/>
            <rFont val="Arimo"/>
            <scheme val="minor"/>
          </rPr>
          <t>======
ID#AAABXbpZQPY
    (2024-11-06 19:24:58)
Total Operating Expenses - When reporting via the Internet, this is an automatic calculation field. If reporting manually, enter the sum from Line 150.</t>
        </r>
      </text>
    </comment>
    <comment ref="C96" authorId="0" shapeId="0" xr:uid="{00000000-0006-0000-0000-000042000000}">
      <text>
        <r>
          <rPr>
            <sz val="10"/>
            <color rgb="FF000000"/>
            <rFont val="Arimo"/>
            <scheme val="minor"/>
          </rPr>
          <t>======
ID#AAABXbpZQO4
    (2024-11-06 19:24:58)
Advertising - General - Enter the cost of all advertising and promotion other than Internet, digital and web site advertising, i.e. traditional advertising costs including design, printing and postage, ads for technicians, etc.</t>
        </r>
      </text>
    </comment>
    <comment ref="F96" authorId="0" shapeId="0" xr:uid="{00000000-0006-0000-0000-00004F000000}">
      <text>
        <r>
          <rPr>
            <sz val="10"/>
            <color rgb="FF000000"/>
            <rFont val="Arimo"/>
            <scheme val="minor"/>
          </rPr>
          <t>======
ID#AAABXbpZQOE
    (2024-11-06 19:24:57)
Profit From Operations - When reporting via the Internet, this is an automatic calculation field. If reporting manually, subtract Lines 154 and 155 from Line 153, and enter the total here.</t>
        </r>
      </text>
    </comment>
    <comment ref="C97" authorId="0" shapeId="0" xr:uid="{00000000-0006-0000-0000-0000A7000000}">
      <text>
        <r>
          <rPr>
            <sz val="10"/>
            <color rgb="FF000000"/>
            <rFont val="Arimo"/>
            <scheme val="minor"/>
          </rPr>
          <t>======
ID#AAABXbiK1V0
    (2024-11-06 19:24:57)
Advertising -  Internet/Digital - Enter the cost of all paid Internet advertising, i.e. Google Adwords, paid Internet directory listings, banner ads posted to other websites, texting, etc.</t>
        </r>
      </text>
    </comment>
    <comment ref="F97" authorId="0" shapeId="0" xr:uid="{00000000-0006-0000-0000-00006C000000}">
      <text>
        <r>
          <rPr>
            <sz val="10"/>
            <color rgb="FF000000"/>
            <rFont val="Arimo"/>
            <scheme val="minor"/>
          </rPr>
          <t>======
ID#AAABXbpZQMQ
    (2024-11-06 19:24:57)
Net Other Income/Expense - When reporting via the Internet, this is an automatic calculation field. If reporting manually, this is line 103 minus line 106.</t>
        </r>
      </text>
    </comment>
    <comment ref="C98" authorId="0" shapeId="0" xr:uid="{00000000-0006-0000-0000-00006A000000}">
      <text>
        <r>
          <rPr>
            <sz val="10"/>
            <color rgb="FF000000"/>
            <rFont val="Arimo"/>
            <scheme val="minor"/>
          </rPr>
          <t>======
ID#AAABXbpZQMY
    (2024-11-06 19:24:57)
Advertising/Website/SEO - Enter the cost of all website related expenses and SEO (Search Engine Optimization) expenses. I.e. hosting, web site construction, maintenance and updates, Search Engine Optimization, landing page etc. Do not include the cost of Internet access.</t>
        </r>
      </text>
    </comment>
    <comment ref="F98" authorId="0" shapeId="0" xr:uid="{00000000-0006-0000-0000-000070000000}">
      <text>
        <r>
          <rPr>
            <sz val="10"/>
            <color rgb="FF000000"/>
            <rFont val="Arimo"/>
            <scheme val="minor"/>
          </rPr>
          <t>======
ID#AAABXbpZQMA
    (2024-11-06 19:24:57)
Net Profit (before income tax) - This is an automatic calculation, which is the sum of lines 156 and 157.</t>
        </r>
      </text>
    </comment>
  </commentList>
  <extLst>
    <ext xmlns:r="http://schemas.openxmlformats.org/officeDocument/2006/relationships" uri="GoogleSheetsCustomDataVersion2">
      <go:sheetsCustomData xmlns:go="http://customooxmlschemas.google.com/" r:id="rId1" roundtripDataSignature="AMtx7mhkxnePUKcJqPxtjwEzbIqc2ZJP4g=="/>
    </ext>
  </extLst>
</comments>
</file>

<file path=xl/sharedStrings.xml><?xml version="1.0" encoding="utf-8"?>
<sst xmlns="http://schemas.openxmlformats.org/spreadsheetml/2006/main" count="190" uniqueCount="163">
  <si>
    <t>— CURRENT ASSETS —</t>
  </si>
  <si>
    <t>AMOUNT</t>
  </si>
  <si>
    <t>Cash on Hand</t>
  </si>
  <si>
    <t>Total Current &amp; L/T Liabilities</t>
  </si>
  <si>
    <t>Cash in Banks</t>
  </si>
  <si>
    <t>Accounts Receivable — Trade</t>
  </si>
  <si>
    <t>Total Equity</t>
  </si>
  <si>
    <t>Allowances — Bad Debts</t>
  </si>
  <si>
    <t>Prepaid Expenses</t>
  </si>
  <si>
    <t>Total Current &amp; L/T Liab &amp; Equity</t>
  </si>
  <si>
    <t>Deposits</t>
  </si>
  <si>
    <t>Payroll Advances/Bonuses</t>
  </si>
  <si>
    <t>— FACILITY INFORMATION —</t>
  </si>
  <si>
    <t>NUMBER</t>
  </si>
  <si>
    <t>Inventory — Parts</t>
  </si>
  <si>
    <t>Total Square Footage — Parts Dept</t>
  </si>
  <si>
    <t>Work-in-Process — Parts</t>
  </si>
  <si>
    <t>Total Square Footage — Shop</t>
  </si>
  <si>
    <t>Work-in-Process — Labor</t>
  </si>
  <si>
    <t>Total Square Footage — Offices</t>
  </si>
  <si>
    <t>Work-in-Process — Sublet</t>
  </si>
  <si>
    <t>Total Square Footage — Other</t>
  </si>
  <si>
    <t>Work-in-Process — Other</t>
  </si>
  <si>
    <t>Total Square Footage — Building</t>
  </si>
  <si>
    <t>Other Current Assets</t>
  </si>
  <si>
    <t>Total Number of Usable Stalls</t>
  </si>
  <si>
    <t>Total Current Assets</t>
  </si>
  <si>
    <t>Total Number of Hoists</t>
  </si>
  <si>
    <t>— OTHER ASSETS —</t>
  </si>
  <si>
    <t>— EMPLOYEE INFORMATION —</t>
  </si>
  <si>
    <t>Net Fixed Assets (after depreciation)</t>
  </si>
  <si>
    <t>Number of Management Personnel</t>
  </si>
  <si>
    <t>Accounts Receivable — Employees</t>
  </si>
  <si>
    <t>Number of Supervisory — Office</t>
  </si>
  <si>
    <t>Accounts Receivable — Owners/Officers</t>
  </si>
  <si>
    <t>Number of Supervisory — Parts</t>
  </si>
  <si>
    <t>Notes Receivable — Long Term</t>
  </si>
  <si>
    <t>Number of Supervisory — Shop</t>
  </si>
  <si>
    <t>Other Assets</t>
  </si>
  <si>
    <t>Number of Sales Persons</t>
  </si>
  <si>
    <t>Total Other Assets</t>
  </si>
  <si>
    <t>Number of Clerical Personnel</t>
  </si>
  <si>
    <t>Number of Maintenance — Shop</t>
  </si>
  <si>
    <t>Total Current &amp; Other Assets</t>
  </si>
  <si>
    <t>Number of Parts Persons</t>
  </si>
  <si>
    <t>Number of Service Advisors</t>
  </si>
  <si>
    <t>— CURRENT LIABILITIES —</t>
  </si>
  <si>
    <t>Number of Technicians</t>
  </si>
  <si>
    <t>Accounts Payable</t>
  </si>
  <si>
    <t>Total Employees</t>
  </si>
  <si>
    <t>Customer Deposits</t>
  </si>
  <si>
    <t>Notes Payable</t>
  </si>
  <si>
    <t>— TECHNICIAN HOURS —</t>
  </si>
  <si>
    <t>Long Term Debt — (Current Portion)</t>
  </si>
  <si>
    <t>Total — Available Hours</t>
  </si>
  <si>
    <t>Accrued Sales Tax Payable</t>
  </si>
  <si>
    <t>Total — Actual Hours</t>
  </si>
  <si>
    <t>Accrued Interest Payable</t>
  </si>
  <si>
    <t>Total — Sold Hours</t>
  </si>
  <si>
    <t>Accrued Insurance Payable</t>
  </si>
  <si>
    <t>Accrued Payroll Payable</t>
  </si>
  <si>
    <t>TOTAL DAYS WORKED</t>
  </si>
  <si>
    <t>Accrued Payroll Taxes Payable</t>
  </si>
  <si>
    <t>Accrued Income Tax Payable</t>
  </si>
  <si>
    <t>CURRENT LABOR RATE</t>
  </si>
  <si>
    <t>Accrued Property Tax Payable</t>
  </si>
  <si>
    <t>Other Current Liabilities</t>
  </si>
  <si>
    <t>TOTAL RO'S WRITTEN</t>
  </si>
  <si>
    <t>Total Current Liabilities</t>
  </si>
  <si>
    <t>— ACCOUNTS RECEIVABLE —</t>
  </si>
  <si>
    <t>— LONG TERM LIABILITIES —</t>
  </si>
  <si>
    <t>Current Receivables (0 to 30 Days)</t>
  </si>
  <si>
    <t>31 to 60 Days</t>
  </si>
  <si>
    <t>Notes Payable — Officers/Stockholders</t>
  </si>
  <si>
    <t>61 to 90 Days</t>
  </si>
  <si>
    <t>Other Long Term Liabilities</t>
  </si>
  <si>
    <t>Over 90 Days</t>
  </si>
  <si>
    <t xml:space="preserve">Total Long Term Liabilities  </t>
  </si>
  <si>
    <t>Total Accounts Receivable</t>
  </si>
  <si>
    <t>— INCOME/SALES —</t>
  </si>
  <si>
    <t>— OPERATING EXPENSES CONT.—</t>
  </si>
  <si>
    <t>Parts — Service Repair Order</t>
  </si>
  <si>
    <t>Bankcard Services</t>
  </si>
  <si>
    <t>Parts — Other</t>
  </si>
  <si>
    <t>Building — Maint/Repair</t>
  </si>
  <si>
    <t>Labor — Retail/Wholesale</t>
  </si>
  <si>
    <t>Building — Rent/Lease</t>
  </si>
  <si>
    <t>Sublet</t>
  </si>
  <si>
    <t>Dues/Subscriptions/Memberships</t>
  </si>
  <si>
    <t>Tires</t>
  </si>
  <si>
    <t>Employee Benefits</t>
  </si>
  <si>
    <t>Towing</t>
  </si>
  <si>
    <t>Employee Training</t>
  </si>
  <si>
    <t>Environmental Fees / Shop Supplies</t>
  </si>
  <si>
    <t>Equipt — Maint/Repair</t>
  </si>
  <si>
    <t>Total Income — Other</t>
  </si>
  <si>
    <t>Equipt — Rent/Lease</t>
  </si>
  <si>
    <t>Total Income/Sales</t>
  </si>
  <si>
    <t>Equipment Updates</t>
  </si>
  <si>
    <t>Freight</t>
  </si>
  <si>
    <t>— COST OF SALES —</t>
  </si>
  <si>
    <t>Insurance — Liability</t>
  </si>
  <si>
    <t>Purchases — Parts Service Repair Order</t>
  </si>
  <si>
    <t>Insurance — Other</t>
  </si>
  <si>
    <t>Purchases — Other</t>
  </si>
  <si>
    <t>Insurance—Workman's Comp</t>
  </si>
  <si>
    <t>Labor — Technician Wages</t>
  </si>
  <si>
    <t>Interest</t>
  </si>
  <si>
    <t>Internet Charges</t>
  </si>
  <si>
    <t>IT Services</t>
  </si>
  <si>
    <t>Laundry &amp; Uniforms</t>
  </si>
  <si>
    <t>Legal</t>
  </si>
  <si>
    <t>Total Cost of Sales — Other</t>
  </si>
  <si>
    <t>Postage</t>
  </si>
  <si>
    <t>Total Cost of Sales</t>
  </si>
  <si>
    <t>Salaries — Clerical-Office</t>
  </si>
  <si>
    <t>Salaries — Maint-Shop</t>
  </si>
  <si>
    <t>— GROSS PROFIT —</t>
  </si>
  <si>
    <t>Salaries — Management</t>
  </si>
  <si>
    <t>Parts (Repair Order)</t>
  </si>
  <si>
    <t>Salaries — Owners</t>
  </si>
  <si>
    <t>Parts - Other</t>
  </si>
  <si>
    <t>Salaries — Parts Persons</t>
  </si>
  <si>
    <t>Salaries — Sales Persons</t>
  </si>
  <si>
    <t>Salaries — Service Advisors</t>
  </si>
  <si>
    <t>Salaries — Supervisory-Office</t>
  </si>
  <si>
    <t>Salaries — Supervisory-Parts</t>
  </si>
  <si>
    <t>Environmental Fees</t>
  </si>
  <si>
    <t>Salaries — Supervisory-Shop</t>
  </si>
  <si>
    <t>Total Gross Profit — Other</t>
  </si>
  <si>
    <t>Small-Tool Purchases</t>
  </si>
  <si>
    <t>Total Gross Profit</t>
  </si>
  <si>
    <t>Supplies — Building</t>
  </si>
  <si>
    <t>Supplies — Office</t>
  </si>
  <si>
    <t>— OTHER INCOME —</t>
  </si>
  <si>
    <t>Taxes — Business</t>
  </si>
  <si>
    <t>Gain — Dispersement of Assets</t>
  </si>
  <si>
    <t>Taxes — Payroll</t>
  </si>
  <si>
    <t>Cash Discounts Earned</t>
  </si>
  <si>
    <t>Telephones</t>
  </si>
  <si>
    <t>Interest Earned</t>
  </si>
  <si>
    <t>Travel/Entertainment</t>
  </si>
  <si>
    <t>Bad Debt Recovery</t>
  </si>
  <si>
    <t>Utilities</t>
  </si>
  <si>
    <t>Other Income — Total</t>
  </si>
  <si>
    <t>Vehicle Expense</t>
  </si>
  <si>
    <t>Total Other Income</t>
  </si>
  <si>
    <t>Other Operating Expenses Combined</t>
  </si>
  <si>
    <t>Total Operating Expenses</t>
  </si>
  <si>
    <t>— OTHER EXPENSE —</t>
  </si>
  <si>
    <t>Loss — Dispersement of Assets</t>
  </si>
  <si>
    <t>— RECAP —</t>
  </si>
  <si>
    <t>Other Expenses — Total</t>
  </si>
  <si>
    <t>Total Other Expense</t>
  </si>
  <si>
    <t>— OPERATING EXPENSES —</t>
  </si>
  <si>
    <t>Sales Discounts/Adjustments/Refunds</t>
  </si>
  <si>
    <t>Accounting</t>
  </si>
  <si>
    <t>Advertising - General</t>
  </si>
  <si>
    <t>Profit From Operations</t>
  </si>
  <si>
    <t>Advertising - Internet/Digital</t>
  </si>
  <si>
    <t>Net Other Income/Expense</t>
  </si>
  <si>
    <t>Advertising - Web Site and SEO</t>
  </si>
  <si>
    <t>Net Profit Before Income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</si>
</sst>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6">
    <font>
      <sz val="10"/>
      <color rgb="FF000000"/>
      <name val="Arimo"/>
      <scheme val="minor"/>
    </font>
    <font>
      <b/>
      <sz val="8"/>
      <color theme="1"/>
      <name val="Spartan"/>
    </font>
    <font>
      <sz val="8"/>
      <color theme="1"/>
      <name val="Spartan"/>
    </font>
    <font>
      <sz val="8"/>
      <color rgb="FFFFFFFF"/>
      <name val="Spartan"/>
    </font>
    <font>
      <b/>
      <sz val="8"/>
      <color rgb="FFFFFFFF"/>
      <name val="Spartan"/>
    </font>
    <font>
      <sz val="5"/>
      <color theme="1"/>
      <name val="Spartan"/>
    </font>
  </fonts>
  <fills count="5">
    <fill>
      <patternFill patternType="none"/>
    </fill>
    <fill>
      <patternFill patternType="gray125"/>
    </fill>
    <fill>
      <patternFill patternType="solid">
        <fgColor rgb="FF25B34B"/>
        <bgColor rgb="FF25B34B"/>
      </patternFill>
    </fill>
    <fill>
      <patternFill patternType="solid">
        <fgColor rgb="FFD3D7DE"/>
        <bgColor rgb="FFD3D7DE"/>
      </patternFill>
    </fill>
    <fill>
      <patternFill patternType="solid">
        <fgColor rgb="FF3F434B"/>
        <bgColor rgb="FF3F434B"/>
      </patternFill>
    </fill>
  </fills>
  <borders count="47">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hair">
        <color rgb="FF000000"/>
      </left>
      <right style="medium">
        <color rgb="FF000000"/>
      </right>
      <top/>
      <bottom style="hair">
        <color rgb="FF000000"/>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thin">
        <color rgb="FF000000"/>
      </bottom>
      <diagonal/>
    </border>
    <border>
      <left style="hair">
        <color rgb="FF000000"/>
      </left>
      <right style="thin">
        <color rgb="FF000000"/>
      </right>
      <top style="thin">
        <color rgb="FF000000"/>
      </top>
      <bottom style="medium">
        <color rgb="FF000000"/>
      </bottom>
      <diagonal/>
    </border>
    <border>
      <left style="medium">
        <color rgb="FF000000"/>
      </left>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medium">
        <color rgb="FF000000"/>
      </right>
      <top/>
      <bottom/>
      <diagonal/>
    </border>
    <border>
      <left style="hair">
        <color rgb="FF000000"/>
      </left>
      <right style="medium">
        <color rgb="FF000000"/>
      </right>
      <top style="hair">
        <color rgb="FF000000"/>
      </top>
      <bottom/>
      <diagonal/>
    </border>
    <border>
      <left style="hair">
        <color rgb="FF000000"/>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style="thin">
        <color rgb="FF000000"/>
      </top>
      <bottom style="medium">
        <color rgb="FF000000"/>
      </bottom>
      <diagonal/>
    </border>
    <border>
      <left/>
      <right style="hair">
        <color rgb="FF000000"/>
      </right>
      <top style="medium">
        <color rgb="FF000000"/>
      </top>
      <bottom style="medium">
        <color rgb="FF000000"/>
      </bottom>
      <diagonal/>
    </border>
    <border>
      <left/>
      <right style="medium">
        <color rgb="FF000000"/>
      </right>
      <top/>
      <bottom/>
      <diagonal/>
    </border>
    <border>
      <left/>
      <right/>
      <top/>
      <bottom/>
      <diagonal/>
    </border>
    <border>
      <left/>
      <right/>
      <top style="hair">
        <color rgb="FF000000"/>
      </top>
      <bottom/>
      <diagonal/>
    </border>
    <border>
      <left/>
      <right style="hair">
        <color rgb="FF000000"/>
      </right>
      <top style="hair">
        <color rgb="FF000000"/>
      </top>
      <bottom/>
      <diagonal/>
    </border>
    <border>
      <left style="hair">
        <color rgb="FF000000"/>
      </left>
      <right style="medium">
        <color rgb="FF000000"/>
      </right>
      <top style="thin">
        <color rgb="FF000000"/>
      </top>
      <bottom/>
      <diagonal/>
    </border>
    <border>
      <left style="medium">
        <color rgb="FF000000"/>
      </left>
      <right/>
      <top style="medium">
        <color rgb="FF000000"/>
      </top>
      <bottom/>
      <diagonal/>
    </border>
    <border>
      <left/>
      <right style="hair">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hair">
        <color rgb="FF000000"/>
      </bottom>
      <diagonal/>
    </border>
    <border>
      <left/>
      <right style="hair">
        <color rgb="FF000000"/>
      </right>
      <top/>
      <bottom style="hair">
        <color rgb="FF000000"/>
      </bottom>
      <diagonal/>
    </border>
    <border>
      <left style="medium">
        <color rgb="FF000000"/>
      </left>
      <right/>
      <top style="hair">
        <color rgb="FF000000"/>
      </top>
      <bottom style="hair">
        <color rgb="FF000000"/>
      </bottom>
      <diagonal/>
    </border>
    <border>
      <left style="medium">
        <color rgb="FF000000"/>
      </left>
      <right/>
      <top style="thin">
        <color rgb="FF000000"/>
      </top>
      <bottom/>
      <diagonal/>
    </border>
    <border>
      <left style="thin">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hair">
        <color rgb="FF000000"/>
      </right>
      <top/>
      <bottom/>
      <diagonal/>
    </border>
    <border>
      <left style="hair">
        <color rgb="FF000000"/>
      </left>
      <right style="medium">
        <color rgb="FF000000"/>
      </right>
      <top style="thin">
        <color rgb="FF000000"/>
      </top>
      <bottom style="hair">
        <color rgb="FF000000"/>
      </bottom>
      <diagonal/>
    </border>
    <border>
      <left style="hair">
        <color rgb="FF000000"/>
      </left>
      <right style="medium">
        <color rgb="FF000000"/>
      </right>
      <top/>
      <bottom style="medium">
        <color rgb="FF000000"/>
      </bottom>
      <diagonal/>
    </border>
    <border>
      <left/>
      <right style="hair">
        <color rgb="FF000000"/>
      </right>
      <top style="thin">
        <color rgb="FF000000"/>
      </top>
      <bottom style="medium">
        <color rgb="FF000000"/>
      </bottom>
      <diagonal/>
    </border>
  </borders>
  <cellStyleXfs count="1">
    <xf numFmtId="0" fontId="0" fillId="0" borderId="0"/>
  </cellStyleXfs>
  <cellXfs count="84">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3" fillId="2" borderId="1" xfId="0" applyFont="1" applyFill="1" applyBorder="1" applyAlignment="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vertical="center"/>
    </xf>
    <xf numFmtId="41" fontId="2" fillId="0" borderId="5" xfId="0" applyNumberFormat="1" applyFont="1" applyBorder="1" applyAlignment="1">
      <alignment vertical="center"/>
    </xf>
    <xf numFmtId="41" fontId="2" fillId="0" borderId="6" xfId="0" applyNumberFormat="1" applyFont="1" applyBorder="1" applyAlignment="1">
      <alignment vertical="center"/>
    </xf>
    <xf numFmtId="0" fontId="1" fillId="0" borderId="7" xfId="0" applyFont="1" applyBorder="1" applyAlignment="1">
      <alignment horizontal="center"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4" fillId="4" borderId="10" xfId="0" applyFont="1" applyFill="1" applyBorder="1" applyAlignment="1">
      <alignment horizontal="center" vertical="center"/>
    </xf>
    <xf numFmtId="0" fontId="4" fillId="4" borderId="11" xfId="0" applyFont="1" applyFill="1" applyBorder="1" applyAlignment="1">
      <alignment horizontal="right" vertical="center"/>
    </xf>
    <xf numFmtId="41" fontId="2" fillId="0" borderId="12" xfId="0" applyNumberFormat="1" applyFont="1" applyBorder="1" applyAlignment="1">
      <alignment vertical="center"/>
    </xf>
    <xf numFmtId="41" fontId="2" fillId="0" borderId="13" xfId="0" applyNumberFormat="1" applyFont="1" applyBorder="1" applyAlignment="1">
      <alignment vertical="center"/>
    </xf>
    <xf numFmtId="0" fontId="2" fillId="0" borderId="14" xfId="0" applyFont="1" applyBorder="1" applyAlignment="1">
      <alignment vertical="center"/>
    </xf>
    <xf numFmtId="41" fontId="2" fillId="0" borderId="15" xfId="0" applyNumberFormat="1" applyFont="1" applyBorder="1" applyAlignment="1">
      <alignment vertical="center"/>
    </xf>
    <xf numFmtId="41" fontId="2" fillId="0" borderId="16" xfId="0" applyNumberFormat="1" applyFont="1" applyBorder="1" applyAlignment="1">
      <alignment vertical="center"/>
    </xf>
    <xf numFmtId="0" fontId="1" fillId="0" borderId="17" xfId="0" applyFont="1" applyBorder="1" applyAlignment="1">
      <alignment horizontal="center" vertical="center"/>
    </xf>
    <xf numFmtId="0" fontId="2" fillId="0" borderId="18" xfId="0" applyFont="1" applyBorder="1" applyAlignment="1">
      <alignment vertical="center"/>
    </xf>
    <xf numFmtId="41" fontId="2" fillId="0" borderId="19" xfId="0" applyNumberFormat="1" applyFont="1" applyBorder="1" applyAlignment="1">
      <alignment vertical="center"/>
    </xf>
    <xf numFmtId="1" fontId="2" fillId="0" borderId="20" xfId="0" applyNumberFormat="1" applyFont="1" applyBorder="1" applyAlignment="1">
      <alignment horizontal="center" vertical="center"/>
    </xf>
    <xf numFmtId="1" fontId="2" fillId="0" borderId="21" xfId="0" applyNumberFormat="1" applyFont="1" applyBorder="1" applyAlignment="1">
      <alignment horizontal="center" vertical="center"/>
    </xf>
    <xf numFmtId="41" fontId="2" fillId="0" borderId="22" xfId="0" applyNumberFormat="1" applyFont="1" applyBorder="1" applyAlignment="1">
      <alignment vertical="center"/>
    </xf>
    <xf numFmtId="0" fontId="2" fillId="3" borderId="23" xfId="0" applyFont="1" applyFill="1" applyBorder="1" applyAlignment="1">
      <alignment horizontal="center" vertical="center"/>
    </xf>
    <xf numFmtId="0" fontId="1" fillId="3" borderId="0" xfId="0" applyFont="1" applyFill="1" applyAlignment="1">
      <alignment horizontal="right" vertical="center"/>
    </xf>
    <xf numFmtId="1" fontId="2" fillId="0" borderId="24" xfId="0" applyNumberFormat="1" applyFont="1" applyBorder="1" applyAlignment="1">
      <alignment horizontal="center" vertical="center"/>
    </xf>
    <xf numFmtId="1" fontId="2" fillId="0" borderId="19" xfId="0" applyNumberFormat="1" applyFont="1" applyBorder="1" applyAlignment="1">
      <alignment horizontal="center" vertical="center"/>
    </xf>
    <xf numFmtId="0" fontId="1" fillId="0" borderId="25" xfId="0" applyFont="1" applyBorder="1" applyAlignment="1">
      <alignment horizontal="right" vertical="center"/>
    </xf>
    <xf numFmtId="1" fontId="2" fillId="0" borderId="12" xfId="0" applyNumberFormat="1" applyFont="1" applyBorder="1" applyAlignment="1">
      <alignment horizontal="center" vertical="center"/>
    </xf>
    <xf numFmtId="2" fontId="2" fillId="0" borderId="12" xfId="0" applyNumberFormat="1" applyFont="1" applyBorder="1" applyAlignment="1">
      <alignment horizontal="center" vertical="center"/>
    </xf>
    <xf numFmtId="41" fontId="2" fillId="0" borderId="20" xfId="0" applyNumberFormat="1" applyFont="1" applyBorder="1" applyAlignment="1">
      <alignment vertical="center"/>
    </xf>
    <xf numFmtId="0" fontId="2" fillId="3" borderId="26" xfId="0" applyFont="1" applyFill="1" applyBorder="1" applyAlignment="1">
      <alignment vertical="center"/>
    </xf>
    <xf numFmtId="41" fontId="2" fillId="0" borderId="21" xfId="0" applyNumberFormat="1" applyFont="1" applyBorder="1" applyAlignment="1">
      <alignment vertical="center"/>
    </xf>
    <xf numFmtId="0" fontId="5" fillId="0" borderId="0" xfId="0" applyFont="1" applyAlignment="1">
      <alignment horizontal="center" vertical="center"/>
    </xf>
    <xf numFmtId="0" fontId="1" fillId="0" borderId="28" xfId="0" applyFont="1" applyBorder="1" applyAlignment="1">
      <alignment horizontal="center" vertical="center"/>
    </xf>
    <xf numFmtId="41" fontId="2" fillId="0" borderId="21" xfId="0" applyNumberFormat="1" applyFont="1" applyBorder="1" applyAlignment="1">
      <alignment horizontal="center" vertical="center"/>
    </xf>
    <xf numFmtId="0" fontId="2" fillId="0" borderId="29" xfId="0" applyFont="1" applyBorder="1" applyAlignment="1">
      <alignment vertical="center"/>
    </xf>
    <xf numFmtId="41" fontId="2" fillId="0" borderId="30" xfId="0" applyNumberFormat="1" applyFont="1" applyBorder="1" applyAlignment="1">
      <alignment vertical="center"/>
    </xf>
    <xf numFmtId="0" fontId="1" fillId="0" borderId="31" xfId="0" applyFont="1" applyBorder="1" applyAlignment="1">
      <alignment horizontal="center" vertical="center"/>
    </xf>
    <xf numFmtId="0" fontId="2" fillId="0" borderId="32" xfId="0" applyFont="1" applyBorder="1" applyAlignment="1">
      <alignment vertical="center"/>
    </xf>
    <xf numFmtId="41" fontId="2" fillId="0" borderId="33" xfId="0" applyNumberFormat="1" applyFont="1" applyBorder="1" applyAlignment="1">
      <alignment vertical="center"/>
    </xf>
    <xf numFmtId="0" fontId="2" fillId="3" borderId="34" xfId="0" applyFont="1" applyFill="1" applyBorder="1" applyAlignment="1">
      <alignment horizontal="center" vertical="center"/>
    </xf>
    <xf numFmtId="0" fontId="2" fillId="3" borderId="35" xfId="0" applyFont="1" applyFill="1" applyBorder="1" applyAlignment="1">
      <alignment horizontal="right" vertical="center"/>
    </xf>
    <xf numFmtId="0" fontId="2" fillId="3" borderId="35" xfId="0" applyFont="1" applyFill="1" applyBorder="1" applyAlignment="1">
      <alignment vertical="center"/>
    </xf>
    <xf numFmtId="0" fontId="3" fillId="4" borderId="14" xfId="0" applyFont="1" applyFill="1" applyBorder="1" applyAlignment="1">
      <alignment vertical="center"/>
    </xf>
    <xf numFmtId="0" fontId="4" fillId="4" borderId="7" xfId="0" applyFont="1" applyFill="1" applyBorder="1" applyAlignment="1">
      <alignment horizontal="center" vertical="center"/>
    </xf>
    <xf numFmtId="0" fontId="3" fillId="4" borderId="4" xfId="0" applyFont="1" applyFill="1" applyBorder="1" applyAlignment="1">
      <alignment vertical="center"/>
    </xf>
    <xf numFmtId="0" fontId="1" fillId="0" borderId="36" xfId="0" applyFont="1" applyBorder="1" applyAlignment="1">
      <alignment horizontal="center" vertical="center"/>
    </xf>
    <xf numFmtId="0" fontId="2" fillId="0" borderId="37" xfId="0" applyFont="1" applyBorder="1" applyAlignment="1">
      <alignment vertical="center"/>
    </xf>
    <xf numFmtId="0" fontId="1" fillId="0" borderId="38" xfId="0" applyFont="1" applyBorder="1" applyAlignment="1">
      <alignment horizontal="center" vertical="center"/>
    </xf>
    <xf numFmtId="41" fontId="2" fillId="0" borderId="5" xfId="0" applyNumberFormat="1" applyFont="1" applyBorder="1" applyAlignment="1">
      <alignment horizontal="center" vertical="center"/>
    </xf>
    <xf numFmtId="41" fontId="2" fillId="0" borderId="19" xfId="0" applyNumberFormat="1" applyFont="1" applyBorder="1" applyAlignment="1">
      <alignment horizontal="center" vertical="center"/>
    </xf>
    <xf numFmtId="0" fontId="2" fillId="3" borderId="8" xfId="0" applyFont="1" applyFill="1" applyBorder="1" applyAlignment="1">
      <alignment horizontal="center" vertical="center"/>
    </xf>
    <xf numFmtId="0" fontId="1" fillId="0" borderId="39" xfId="0" applyFont="1" applyBorder="1" applyAlignment="1">
      <alignment horizontal="center" vertical="center"/>
    </xf>
    <xf numFmtId="0" fontId="4" fillId="4" borderId="40" xfId="0" applyFont="1" applyFill="1" applyBorder="1" applyAlignment="1">
      <alignment horizontal="center" vertical="center"/>
    </xf>
    <xf numFmtId="0" fontId="3" fillId="4" borderId="41" xfId="0" applyFont="1" applyFill="1" applyBorder="1" applyAlignment="1">
      <alignment horizontal="left" vertical="center"/>
    </xf>
    <xf numFmtId="41" fontId="1" fillId="0" borderId="42" xfId="0" applyNumberFormat="1" applyFont="1" applyBorder="1" applyAlignment="1">
      <alignment horizontal="center" vertical="center"/>
    </xf>
    <xf numFmtId="0" fontId="3" fillId="4" borderId="41" xfId="0" applyFont="1" applyFill="1" applyBorder="1" applyAlignment="1">
      <alignment vertical="center"/>
    </xf>
    <xf numFmtId="41" fontId="1" fillId="0" borderId="42" xfId="0" applyNumberFormat="1" applyFont="1" applyBorder="1" applyAlignment="1">
      <alignment vertical="center"/>
    </xf>
    <xf numFmtId="0" fontId="2" fillId="0" borderId="43" xfId="0" applyFont="1" applyBorder="1" applyAlignment="1">
      <alignment vertical="center"/>
    </xf>
    <xf numFmtId="41" fontId="1" fillId="0" borderId="20" xfId="0" applyNumberFormat="1" applyFont="1" applyBorder="1" applyAlignment="1">
      <alignment vertical="center"/>
    </xf>
    <xf numFmtId="41" fontId="2" fillId="0" borderId="44" xfId="0" applyNumberFormat="1" applyFont="1" applyBorder="1" applyAlignment="1">
      <alignment vertical="center"/>
    </xf>
    <xf numFmtId="0" fontId="4" fillId="2" borderId="41" xfId="0" applyFont="1" applyFill="1" applyBorder="1" applyAlignment="1">
      <alignment horizontal="right" vertical="center"/>
    </xf>
    <xf numFmtId="0" fontId="4" fillId="4" borderId="39" xfId="0" applyFont="1" applyFill="1" applyBorder="1" applyAlignment="1">
      <alignment horizontal="center" vertical="center"/>
    </xf>
    <xf numFmtId="41" fontId="2" fillId="0" borderId="45" xfId="0" applyNumberFormat="1" applyFont="1" applyBorder="1" applyAlignment="1">
      <alignment vertical="center"/>
    </xf>
    <xf numFmtId="0" fontId="4" fillId="2" borderId="10" xfId="0" applyFont="1" applyFill="1" applyBorder="1" applyAlignment="1">
      <alignment horizontal="center" vertical="center"/>
    </xf>
    <xf numFmtId="0" fontId="4" fillId="2" borderId="46" xfId="0" applyFont="1" applyFill="1" applyBorder="1" applyAlignment="1">
      <alignment horizontal="right" vertical="center"/>
    </xf>
    <xf numFmtId="0" fontId="1" fillId="0" borderId="23" xfId="0" applyFont="1" applyBorder="1" applyAlignment="1">
      <alignment horizontal="center" vertical="center"/>
    </xf>
    <xf numFmtId="0" fontId="4" fillId="4" borderId="34" xfId="0" applyFont="1" applyFill="1" applyBorder="1" applyAlignment="1">
      <alignment horizontal="center" vertical="center"/>
    </xf>
    <xf numFmtId="0" fontId="4" fillId="4" borderId="35" xfId="0" applyFont="1" applyFill="1" applyBorder="1" applyAlignment="1">
      <alignment horizontal="right" vertical="center"/>
    </xf>
    <xf numFmtId="0" fontId="2" fillId="3" borderId="27" xfId="0" applyFont="1" applyFill="1" applyBorder="1" applyAlignment="1">
      <alignment vertical="center"/>
    </xf>
    <xf numFmtId="0" fontId="1" fillId="3" borderId="27" xfId="0" applyFont="1" applyFill="1" applyBorder="1" applyAlignment="1">
      <alignment horizontal="right" vertical="center"/>
    </xf>
    <xf numFmtId="0" fontId="2" fillId="3" borderId="27" xfId="0" applyFont="1" applyFill="1" applyBorder="1" applyAlignment="1">
      <alignment horizontal="center" vertical="center"/>
    </xf>
    <xf numFmtId="0" fontId="1" fillId="3" borderId="26" xfId="0" applyFont="1" applyFill="1" applyBorder="1" applyAlignment="1">
      <alignment horizontal="right" vertical="center"/>
    </xf>
    <xf numFmtId="0" fontId="2" fillId="3" borderId="31" xfId="0" applyFont="1" applyFill="1" applyBorder="1" applyAlignment="1">
      <alignment horizontal="center" vertical="center"/>
    </xf>
    <xf numFmtId="0" fontId="1" fillId="0" borderId="34" xfId="0" applyFont="1" applyBorder="1" applyAlignment="1">
      <alignment horizontal="center" vertical="center"/>
    </xf>
    <xf numFmtId="0" fontId="2" fillId="3" borderId="27" xfId="0" applyFont="1" applyFill="1" applyBorder="1" applyAlignment="1">
      <alignment horizontal="right" vertical="center"/>
    </xf>
    <xf numFmtId="0" fontId="4" fillId="4" borderId="23" xfId="0" applyFont="1" applyFill="1" applyBorder="1" applyAlignment="1">
      <alignment horizontal="center" vertical="center"/>
    </xf>
    <xf numFmtId="41" fontId="2" fillId="0" borderId="26" xfId="0" applyNumberFormat="1" applyFont="1" applyBorder="1" applyAlignment="1">
      <alignment vertical="center"/>
    </xf>
    <xf numFmtId="0" fontId="4" fillId="2" borderId="2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997"/>
  <sheetViews>
    <sheetView showGridLines="0" tabSelected="1" topLeftCell="A61" workbookViewId="0">
      <selection activeCell="D66" sqref="D66"/>
    </sheetView>
  </sheetViews>
  <sheetFormatPr defaultColWidth="14.44140625" defaultRowHeight="15" customHeight="1"/>
  <cols>
    <col min="1" max="1" width="2.109375" customWidth="1"/>
    <col min="2" max="2" width="4.44140625" customWidth="1"/>
    <col min="3" max="3" width="33.44140625" customWidth="1"/>
    <col min="4" max="4" width="7.44140625" customWidth="1"/>
    <col min="5" max="5" width="3.44140625" customWidth="1"/>
    <col min="6" max="6" width="32.109375" customWidth="1"/>
    <col min="7" max="7" width="7.6640625" customWidth="1"/>
  </cols>
  <sheetData>
    <row r="1" spans="1:7" ht="13.5" customHeight="1" thickBot="1">
      <c r="A1" s="2"/>
      <c r="B1" s="4"/>
      <c r="C1" s="5" t="s">
        <v>0</v>
      </c>
      <c r="D1" s="6" t="s">
        <v>1</v>
      </c>
      <c r="E1" s="12"/>
      <c r="F1" s="12"/>
      <c r="G1" s="13"/>
    </row>
    <row r="2" spans="1:7" ht="38.25" customHeight="1">
      <c r="A2" s="7"/>
      <c r="B2" s="71">
        <f t="shared" ref="B2:B14" si="0">SUM(B1+1)</f>
        <v>1</v>
      </c>
      <c r="C2" s="8" t="s">
        <v>2</v>
      </c>
      <c r="D2" s="9"/>
      <c r="E2" s="72">
        <f>SUM(B46+1)</f>
        <v>39</v>
      </c>
      <c r="F2" s="73" t="s">
        <v>3</v>
      </c>
      <c r="G2" s="10">
        <f>D40+D46</f>
        <v>0</v>
      </c>
    </row>
    <row r="3" spans="1:7" ht="13.5" customHeight="1">
      <c r="A3" s="7"/>
      <c r="B3" s="11">
        <f t="shared" si="0"/>
        <v>2</v>
      </c>
      <c r="C3" s="8" t="s">
        <v>4</v>
      </c>
      <c r="D3" s="9"/>
      <c r="E3" s="12"/>
      <c r="F3" s="12"/>
      <c r="G3" s="13"/>
    </row>
    <row r="4" spans="1:7" ht="21" customHeight="1">
      <c r="A4" s="7"/>
      <c r="B4" s="11">
        <f t="shared" si="0"/>
        <v>3</v>
      </c>
      <c r="C4" s="8" t="s">
        <v>5</v>
      </c>
      <c r="D4" s="9"/>
      <c r="E4" s="14">
        <f>SUM(E2+1)</f>
        <v>40</v>
      </c>
      <c r="F4" s="15" t="s">
        <v>6</v>
      </c>
      <c r="G4" s="16">
        <f>D25-G2</f>
        <v>0</v>
      </c>
    </row>
    <row r="5" spans="1:7" ht="13.5" customHeight="1">
      <c r="A5" s="7"/>
      <c r="B5" s="11">
        <f t="shared" si="0"/>
        <v>4</v>
      </c>
      <c r="C5" s="8" t="s">
        <v>7</v>
      </c>
      <c r="D5" s="9"/>
      <c r="E5" s="12"/>
      <c r="F5" s="12"/>
      <c r="G5" s="13"/>
    </row>
    <row r="6" spans="1:7" ht="13.5" customHeight="1">
      <c r="A6" s="7"/>
      <c r="B6" s="11">
        <f t="shared" si="0"/>
        <v>5</v>
      </c>
      <c r="C6" s="8" t="s">
        <v>8</v>
      </c>
      <c r="D6" s="9"/>
      <c r="E6" s="14">
        <f>SUM(E4+1)</f>
        <v>41</v>
      </c>
      <c r="F6" s="15" t="s">
        <v>9</v>
      </c>
      <c r="G6" s="16">
        <f>G2+G4</f>
        <v>0</v>
      </c>
    </row>
    <row r="7" spans="1:7" ht="13.5" customHeight="1">
      <c r="A7" s="7"/>
      <c r="B7" s="11">
        <f t="shared" si="0"/>
        <v>6</v>
      </c>
      <c r="C7" s="8" t="s">
        <v>10</v>
      </c>
      <c r="D7" s="17"/>
      <c r="E7" s="12"/>
      <c r="F7" s="12"/>
      <c r="G7" s="13"/>
    </row>
    <row r="8" spans="1:7" ht="13.5" customHeight="1">
      <c r="A8" s="7"/>
      <c r="B8" s="11">
        <f t="shared" si="0"/>
        <v>7</v>
      </c>
      <c r="C8" s="8" t="s">
        <v>11</v>
      </c>
      <c r="D8" s="9"/>
      <c r="E8" s="4"/>
      <c r="F8" s="5" t="s">
        <v>12</v>
      </c>
      <c r="G8" s="6" t="s">
        <v>13</v>
      </c>
    </row>
    <row r="9" spans="1:7" ht="13.5" customHeight="1">
      <c r="A9" s="7"/>
      <c r="B9" s="11">
        <f t="shared" si="0"/>
        <v>8</v>
      </c>
      <c r="C9" s="8" t="s">
        <v>14</v>
      </c>
      <c r="D9" s="9"/>
      <c r="E9" s="71">
        <f>SUM(E6+1)</f>
        <v>42</v>
      </c>
      <c r="F9" s="18" t="s">
        <v>15</v>
      </c>
      <c r="G9" s="9"/>
    </row>
    <row r="10" spans="1:7" ht="13.5" customHeight="1">
      <c r="A10" s="7"/>
      <c r="B10" s="11">
        <f t="shared" si="0"/>
        <v>9</v>
      </c>
      <c r="C10" s="8" t="s">
        <v>16</v>
      </c>
      <c r="D10" s="9"/>
      <c r="E10" s="11">
        <f t="shared" ref="E10:E15" si="1">SUM(E9+1)</f>
        <v>43</v>
      </c>
      <c r="F10" s="8" t="s">
        <v>17</v>
      </c>
      <c r="G10" s="9"/>
    </row>
    <row r="11" spans="1:7" ht="13.5" customHeight="1">
      <c r="A11" s="7"/>
      <c r="B11" s="11">
        <f t="shared" si="0"/>
        <v>10</v>
      </c>
      <c r="C11" s="8" t="s">
        <v>18</v>
      </c>
      <c r="D11" s="9"/>
      <c r="E11" s="11">
        <f t="shared" si="1"/>
        <v>44</v>
      </c>
      <c r="F11" s="8" t="s">
        <v>19</v>
      </c>
      <c r="G11" s="9"/>
    </row>
    <row r="12" spans="1:7" ht="13.5" customHeight="1">
      <c r="A12" s="7"/>
      <c r="B12" s="11">
        <f t="shared" si="0"/>
        <v>11</v>
      </c>
      <c r="C12" s="8" t="s">
        <v>20</v>
      </c>
      <c r="D12" s="9"/>
      <c r="E12" s="11">
        <f t="shared" si="1"/>
        <v>45</v>
      </c>
      <c r="F12" s="8" t="s">
        <v>21</v>
      </c>
      <c r="G12" s="9"/>
    </row>
    <row r="13" spans="1:7" ht="13.5" customHeight="1">
      <c r="A13" s="7"/>
      <c r="B13" s="11">
        <f t="shared" si="0"/>
        <v>12</v>
      </c>
      <c r="C13" s="8" t="s">
        <v>22</v>
      </c>
      <c r="D13" s="9"/>
      <c r="E13" s="14">
        <f t="shared" si="1"/>
        <v>46</v>
      </c>
      <c r="F13" s="15" t="s">
        <v>23</v>
      </c>
      <c r="G13" s="19">
        <f>SUM(G9:G12)</f>
        <v>0</v>
      </c>
    </row>
    <row r="14" spans="1:7" ht="13.5" customHeight="1">
      <c r="A14" s="7"/>
      <c r="B14" s="11">
        <f t="shared" si="0"/>
        <v>13</v>
      </c>
      <c r="C14" s="8" t="s">
        <v>24</v>
      </c>
      <c r="D14" s="9"/>
      <c r="E14" s="11">
        <f t="shared" si="1"/>
        <v>47</v>
      </c>
      <c r="F14" s="8" t="s">
        <v>25</v>
      </c>
      <c r="G14" s="9"/>
    </row>
    <row r="15" spans="1:7" ht="13.5" customHeight="1">
      <c r="A15" s="7"/>
      <c r="B15" s="14">
        <f>B14+1</f>
        <v>14</v>
      </c>
      <c r="C15" s="15" t="s">
        <v>26</v>
      </c>
      <c r="D15" s="20">
        <f>SUM(D2:D14)</f>
        <v>0</v>
      </c>
      <c r="E15" s="21">
        <f t="shared" si="1"/>
        <v>48</v>
      </c>
      <c r="F15" s="22" t="s">
        <v>27</v>
      </c>
      <c r="G15" s="23"/>
    </row>
    <row r="16" spans="1:7" ht="6" customHeight="1">
      <c r="A16" s="7"/>
      <c r="B16" s="27"/>
      <c r="C16" s="74"/>
      <c r="D16" s="75"/>
      <c r="E16" s="76"/>
      <c r="F16" s="74"/>
      <c r="G16" s="77"/>
    </row>
    <row r="17" spans="1:7" ht="13.5" customHeight="1">
      <c r="A17" s="7"/>
      <c r="B17" s="4"/>
      <c r="C17" s="5" t="s">
        <v>28</v>
      </c>
      <c r="D17" s="6" t="s">
        <v>1</v>
      </c>
      <c r="E17" s="4"/>
      <c r="F17" s="5" t="s">
        <v>29</v>
      </c>
      <c r="G17" s="6" t="s">
        <v>13</v>
      </c>
    </row>
    <row r="18" spans="1:7" ht="13.5" customHeight="1">
      <c r="A18" s="7"/>
      <c r="B18" s="71">
        <f>SUM(B15+1)</f>
        <v>15</v>
      </c>
      <c r="C18" s="8" t="s">
        <v>30</v>
      </c>
      <c r="D18" s="17"/>
      <c r="E18" s="71">
        <f>SUM(E15+1)</f>
        <v>49</v>
      </c>
      <c r="F18" s="8" t="s">
        <v>31</v>
      </c>
      <c r="G18" s="24"/>
    </row>
    <row r="19" spans="1:7" ht="13.5" customHeight="1">
      <c r="A19" s="7"/>
      <c r="B19" s="11">
        <f t="shared" ref="B19:B22" si="2">SUM(B18+1)</f>
        <v>16</v>
      </c>
      <c r="C19" s="8" t="s">
        <v>32</v>
      </c>
      <c r="D19" s="17"/>
      <c r="E19" s="11">
        <f t="shared" ref="E19:E27" si="3">SUM(E18+1)</f>
        <v>50</v>
      </c>
      <c r="F19" s="8" t="s">
        <v>33</v>
      </c>
      <c r="G19" s="25"/>
    </row>
    <row r="20" spans="1:7" ht="13.5" customHeight="1">
      <c r="A20" s="7"/>
      <c r="B20" s="11">
        <f t="shared" si="2"/>
        <v>17</v>
      </c>
      <c r="C20" s="8" t="s">
        <v>34</v>
      </c>
      <c r="D20" s="17"/>
      <c r="E20" s="11">
        <f t="shared" si="3"/>
        <v>51</v>
      </c>
      <c r="F20" s="8" t="s">
        <v>35</v>
      </c>
      <c r="G20" s="25"/>
    </row>
    <row r="21" spans="1:7" ht="13.5" customHeight="1">
      <c r="A21" s="7"/>
      <c r="B21" s="11">
        <f t="shared" si="2"/>
        <v>18</v>
      </c>
      <c r="C21" s="8" t="s">
        <v>36</v>
      </c>
      <c r="D21" s="17"/>
      <c r="E21" s="11">
        <f t="shared" si="3"/>
        <v>52</v>
      </c>
      <c r="F21" s="8" t="s">
        <v>37</v>
      </c>
      <c r="G21" s="25"/>
    </row>
    <row r="22" spans="1:7" ht="13.5" customHeight="1">
      <c r="A22" s="7"/>
      <c r="B22" s="11">
        <f t="shared" si="2"/>
        <v>19</v>
      </c>
      <c r="C22" s="8" t="s">
        <v>38</v>
      </c>
      <c r="D22" s="17"/>
      <c r="E22" s="11">
        <f t="shared" si="3"/>
        <v>53</v>
      </c>
      <c r="F22" s="8" t="s">
        <v>39</v>
      </c>
      <c r="G22" s="25"/>
    </row>
    <row r="23" spans="1:7" ht="13.5" customHeight="1">
      <c r="A23" s="7"/>
      <c r="B23" s="14">
        <f>B22+1</f>
        <v>20</v>
      </c>
      <c r="C23" s="15" t="s">
        <v>40</v>
      </c>
      <c r="D23" s="26">
        <f>SUM(D18:D22)</f>
        <v>0</v>
      </c>
      <c r="E23" s="11">
        <f t="shared" si="3"/>
        <v>54</v>
      </c>
      <c r="F23" s="8" t="s">
        <v>41</v>
      </c>
      <c r="G23" s="25"/>
    </row>
    <row r="24" spans="1:7" ht="13.5" customHeight="1">
      <c r="A24" s="7"/>
      <c r="B24" s="78"/>
      <c r="C24" s="75"/>
      <c r="D24" s="74"/>
      <c r="E24" s="11">
        <f t="shared" si="3"/>
        <v>55</v>
      </c>
      <c r="F24" s="8" t="s">
        <v>42</v>
      </c>
      <c r="G24" s="25"/>
    </row>
    <row r="25" spans="1:7" ht="13.5" customHeight="1">
      <c r="A25" s="7"/>
      <c r="B25" s="72">
        <f>SUM(B23+1)</f>
        <v>21</v>
      </c>
      <c r="C25" s="73" t="s">
        <v>43</v>
      </c>
      <c r="D25" s="16">
        <f>D15+D23</f>
        <v>0</v>
      </c>
      <c r="E25" s="11">
        <f t="shared" si="3"/>
        <v>56</v>
      </c>
      <c r="F25" s="8" t="s">
        <v>44</v>
      </c>
      <c r="G25" s="25"/>
    </row>
    <row r="26" spans="1:7" ht="13.5" customHeight="1">
      <c r="A26" s="7"/>
      <c r="B26" s="27"/>
      <c r="C26" s="74"/>
      <c r="D26" s="28"/>
      <c r="E26" s="11">
        <f t="shared" si="3"/>
        <v>57</v>
      </c>
      <c r="F26" s="8" t="s">
        <v>45</v>
      </c>
      <c r="G26" s="25"/>
    </row>
    <row r="27" spans="1:7" ht="13.5" customHeight="1">
      <c r="A27" s="7"/>
      <c r="B27" s="4"/>
      <c r="C27" s="5" t="s">
        <v>46</v>
      </c>
      <c r="D27" s="6" t="s">
        <v>1</v>
      </c>
      <c r="E27" s="11">
        <f t="shared" si="3"/>
        <v>58</v>
      </c>
      <c r="F27" s="8" t="s">
        <v>47</v>
      </c>
      <c r="G27" s="25"/>
    </row>
    <row r="28" spans="1:7" ht="13.5" customHeight="1">
      <c r="A28" s="7"/>
      <c r="B28" s="71">
        <f>SUM(B25+1)</f>
        <v>22</v>
      </c>
      <c r="C28" s="8" t="s">
        <v>48</v>
      </c>
      <c r="D28" s="17"/>
      <c r="E28" s="14">
        <f>E27+1</f>
        <v>59</v>
      </c>
      <c r="F28" s="15" t="s">
        <v>49</v>
      </c>
      <c r="G28" s="29">
        <f>SUM(G18:G27)</f>
        <v>0</v>
      </c>
    </row>
    <row r="29" spans="1:7" ht="13.5" customHeight="1">
      <c r="A29" s="7"/>
      <c r="B29" s="11">
        <f t="shared" ref="B29:B39" si="4">SUM(B28+1)</f>
        <v>23</v>
      </c>
      <c r="C29" s="8" t="s">
        <v>50</v>
      </c>
      <c r="D29" s="17"/>
      <c r="E29" s="12"/>
      <c r="F29" s="12"/>
      <c r="G29" s="13"/>
    </row>
    <row r="30" spans="1:7" ht="13.5" customHeight="1">
      <c r="A30" s="7"/>
      <c r="B30" s="11">
        <f t="shared" si="4"/>
        <v>24</v>
      </c>
      <c r="C30" s="8" t="s">
        <v>51</v>
      </c>
      <c r="D30" s="17"/>
      <c r="E30" s="4"/>
      <c r="F30" s="5" t="s">
        <v>52</v>
      </c>
      <c r="G30" s="6" t="s">
        <v>13</v>
      </c>
    </row>
    <row r="31" spans="1:7" ht="13.5" customHeight="1">
      <c r="A31" s="7"/>
      <c r="B31" s="11">
        <f t="shared" si="4"/>
        <v>25</v>
      </c>
      <c r="C31" s="8" t="s">
        <v>53</v>
      </c>
      <c r="D31" s="17"/>
      <c r="E31" s="11">
        <f>SUM(E28+1)</f>
        <v>60</v>
      </c>
      <c r="F31" s="18" t="s">
        <v>54</v>
      </c>
      <c r="G31" s="24"/>
    </row>
    <row r="32" spans="1:7" ht="13.5" customHeight="1">
      <c r="A32" s="7"/>
      <c r="B32" s="11">
        <f t="shared" si="4"/>
        <v>26</v>
      </c>
      <c r="C32" s="8" t="s">
        <v>55</v>
      </c>
      <c r="D32" s="17"/>
      <c r="E32" s="11">
        <f t="shared" ref="E32:E33" si="5">SUM(E31+1)</f>
        <v>61</v>
      </c>
      <c r="F32" s="8" t="s">
        <v>56</v>
      </c>
      <c r="G32" s="25"/>
    </row>
    <row r="33" spans="1:7" ht="13.5" customHeight="1">
      <c r="A33" s="7"/>
      <c r="B33" s="11">
        <f t="shared" si="4"/>
        <v>27</v>
      </c>
      <c r="C33" s="8" t="s">
        <v>57</v>
      </c>
      <c r="D33" s="17"/>
      <c r="E33" s="21">
        <f t="shared" si="5"/>
        <v>62</v>
      </c>
      <c r="F33" s="22" t="s">
        <v>58</v>
      </c>
      <c r="G33" s="30"/>
    </row>
    <row r="34" spans="1:7" ht="13.5" customHeight="1">
      <c r="A34" s="7"/>
      <c r="B34" s="11">
        <f t="shared" si="4"/>
        <v>28</v>
      </c>
      <c r="C34" s="8" t="s">
        <v>59</v>
      </c>
      <c r="D34" s="17"/>
      <c r="E34" s="76"/>
      <c r="F34" s="75"/>
      <c r="G34" s="35"/>
    </row>
    <row r="35" spans="1:7" ht="13.5" customHeight="1">
      <c r="A35" s="7"/>
      <c r="B35" s="11">
        <f t="shared" si="4"/>
        <v>29</v>
      </c>
      <c r="C35" s="8" t="s">
        <v>60</v>
      </c>
      <c r="D35" s="17"/>
      <c r="E35" s="79">
        <f>SUM(E33+1)</f>
        <v>63</v>
      </c>
      <c r="F35" s="31" t="s">
        <v>61</v>
      </c>
      <c r="G35" s="32"/>
    </row>
    <row r="36" spans="1:7" ht="13.5" customHeight="1">
      <c r="A36" s="7"/>
      <c r="B36" s="11">
        <f t="shared" si="4"/>
        <v>30</v>
      </c>
      <c r="C36" s="8" t="s">
        <v>62</v>
      </c>
      <c r="D36" s="17"/>
      <c r="E36" s="12"/>
      <c r="F36" s="12"/>
      <c r="G36" s="13"/>
    </row>
    <row r="37" spans="1:7" ht="13.5" customHeight="1">
      <c r="A37" s="7"/>
      <c r="B37" s="11">
        <f t="shared" si="4"/>
        <v>31</v>
      </c>
      <c r="C37" s="8" t="s">
        <v>63</v>
      </c>
      <c r="D37" s="17"/>
      <c r="E37" s="79">
        <f>SUM(E35+1)</f>
        <v>64</v>
      </c>
      <c r="F37" s="31" t="s">
        <v>64</v>
      </c>
      <c r="G37" s="33"/>
    </row>
    <row r="38" spans="1:7" ht="13.5" customHeight="1">
      <c r="A38" s="7"/>
      <c r="B38" s="11">
        <f t="shared" si="4"/>
        <v>32</v>
      </c>
      <c r="C38" s="8" t="s">
        <v>65</v>
      </c>
      <c r="D38" s="17"/>
      <c r="E38" s="12"/>
      <c r="F38" s="12"/>
      <c r="G38" s="13"/>
    </row>
    <row r="39" spans="1:7" ht="13.5" customHeight="1">
      <c r="A39" s="7"/>
      <c r="B39" s="11">
        <f t="shared" si="4"/>
        <v>33</v>
      </c>
      <c r="C39" s="8" t="s">
        <v>66</v>
      </c>
      <c r="D39" s="34"/>
      <c r="E39" s="79">
        <f>SUM(E37+1)</f>
        <v>65</v>
      </c>
      <c r="F39" s="31" t="s">
        <v>67</v>
      </c>
      <c r="G39" s="32"/>
    </row>
    <row r="40" spans="1:7" ht="13.5" customHeight="1">
      <c r="A40" s="7"/>
      <c r="B40" s="14">
        <f>B39+1</f>
        <v>34</v>
      </c>
      <c r="C40" s="15" t="s">
        <v>68</v>
      </c>
      <c r="D40" s="26">
        <f>SUM(D28:D39)</f>
        <v>0</v>
      </c>
      <c r="E40" s="76"/>
      <c r="F40" s="75"/>
      <c r="G40" s="35"/>
    </row>
    <row r="41" spans="1:7" ht="13.5" customHeight="1">
      <c r="A41" s="7"/>
      <c r="B41" s="27"/>
      <c r="C41" s="75"/>
      <c r="D41" s="74"/>
      <c r="E41" s="4"/>
      <c r="F41" s="5" t="s">
        <v>69</v>
      </c>
      <c r="G41" s="6" t="s">
        <v>1</v>
      </c>
    </row>
    <row r="42" spans="1:7" ht="13.5" customHeight="1">
      <c r="A42" s="7"/>
      <c r="B42" s="4"/>
      <c r="C42" s="5" t="s">
        <v>70</v>
      </c>
      <c r="D42" s="6" t="s">
        <v>1</v>
      </c>
      <c r="E42" s="11">
        <f>SUM(E39+1)</f>
        <v>66</v>
      </c>
      <c r="F42" s="18" t="s">
        <v>71</v>
      </c>
      <c r="G42" s="34"/>
    </row>
    <row r="43" spans="1:7" ht="13.5" customHeight="1">
      <c r="A43" s="7"/>
      <c r="B43" s="71">
        <f>SUM(B40+1)</f>
        <v>35</v>
      </c>
      <c r="C43" s="18" t="s">
        <v>51</v>
      </c>
      <c r="D43" s="17"/>
      <c r="E43" s="11">
        <f t="shared" ref="E43:E45" si="6">SUM(E42+1)</f>
        <v>67</v>
      </c>
      <c r="F43" s="8" t="s">
        <v>72</v>
      </c>
      <c r="G43" s="36"/>
    </row>
    <row r="44" spans="1:7" ht="13.5" customHeight="1">
      <c r="A44" s="7"/>
      <c r="B44" s="11">
        <f t="shared" ref="B44:B45" si="7">SUM(B43+1)</f>
        <v>36</v>
      </c>
      <c r="C44" s="8" t="s">
        <v>73</v>
      </c>
      <c r="D44" s="17"/>
      <c r="E44" s="11">
        <f t="shared" si="6"/>
        <v>68</v>
      </c>
      <c r="F44" s="8" t="s">
        <v>74</v>
      </c>
      <c r="G44" s="36"/>
    </row>
    <row r="45" spans="1:7" ht="13.5" customHeight="1">
      <c r="A45" s="7"/>
      <c r="B45" s="11">
        <f t="shared" si="7"/>
        <v>37</v>
      </c>
      <c r="C45" s="8" t="s">
        <v>75</v>
      </c>
      <c r="D45" s="34"/>
      <c r="E45" s="11">
        <f t="shared" si="6"/>
        <v>69</v>
      </c>
      <c r="F45" s="8" t="s">
        <v>76</v>
      </c>
      <c r="G45" s="9"/>
    </row>
    <row r="46" spans="1:7" ht="13.5" customHeight="1">
      <c r="A46" s="7"/>
      <c r="B46" s="14">
        <f>B45+1</f>
        <v>38</v>
      </c>
      <c r="C46" s="15" t="s">
        <v>77</v>
      </c>
      <c r="D46" s="26">
        <f>SUM(D43:D45)</f>
        <v>0</v>
      </c>
      <c r="E46" s="14">
        <f>E45+1</f>
        <v>70</v>
      </c>
      <c r="F46" s="15" t="s">
        <v>78</v>
      </c>
      <c r="G46" s="26">
        <f>SUM(G42:G45)</f>
        <v>0</v>
      </c>
    </row>
    <row r="47" spans="1:7" ht="15.75" customHeight="1">
      <c r="A47" s="7"/>
      <c r="B47" s="37"/>
      <c r="C47" s="37"/>
      <c r="D47" s="37"/>
      <c r="E47" s="37"/>
      <c r="F47" s="37"/>
      <c r="G47" s="37"/>
    </row>
    <row r="48" spans="1:7" ht="13.5" customHeight="1">
      <c r="A48" s="1"/>
      <c r="B48" s="4"/>
      <c r="C48" s="5" t="s">
        <v>79</v>
      </c>
      <c r="D48" s="6" t="s">
        <v>1</v>
      </c>
      <c r="E48" s="4"/>
      <c r="F48" s="5" t="s">
        <v>80</v>
      </c>
      <c r="G48" s="6" t="s">
        <v>1</v>
      </c>
    </row>
    <row r="49" spans="1:7" ht="42" customHeight="1">
      <c r="A49" s="3"/>
      <c r="B49" s="71">
        <f>SUM(E46+1)</f>
        <v>71</v>
      </c>
      <c r="C49" s="18" t="s">
        <v>81</v>
      </c>
      <c r="D49" s="34"/>
      <c r="E49" s="38">
        <v>111</v>
      </c>
      <c r="F49" s="8" t="s">
        <v>82</v>
      </c>
      <c r="G49" s="34"/>
    </row>
    <row r="50" spans="1:7" ht="35.25" customHeight="1">
      <c r="A50" s="7"/>
      <c r="B50" s="11">
        <f t="shared" ref="B50:B56" si="8">SUM(B49+1)</f>
        <v>72</v>
      </c>
      <c r="C50" s="8" t="s">
        <v>83</v>
      </c>
      <c r="D50" s="36"/>
      <c r="E50" s="38">
        <f t="shared" ref="E50:E88" si="9">SUM(E49+1)</f>
        <v>112</v>
      </c>
      <c r="F50" s="8" t="s">
        <v>84</v>
      </c>
      <c r="G50" s="36"/>
    </row>
    <row r="51" spans="1:7" ht="26.25" customHeight="1">
      <c r="A51" s="7"/>
      <c r="B51" s="11">
        <f t="shared" si="8"/>
        <v>73</v>
      </c>
      <c r="C51" s="8" t="s">
        <v>85</v>
      </c>
      <c r="D51" s="36"/>
      <c r="E51" s="38">
        <f t="shared" si="9"/>
        <v>113</v>
      </c>
      <c r="F51" s="8" t="s">
        <v>86</v>
      </c>
      <c r="G51" s="36"/>
    </row>
    <row r="52" spans="1:7" ht="13.5" customHeight="1">
      <c r="A52" s="7"/>
      <c r="B52" s="11">
        <f t="shared" si="8"/>
        <v>74</v>
      </c>
      <c r="C52" s="8" t="s">
        <v>87</v>
      </c>
      <c r="D52" s="36"/>
      <c r="E52" s="38">
        <f t="shared" si="9"/>
        <v>114</v>
      </c>
      <c r="F52" s="8" t="s">
        <v>88</v>
      </c>
      <c r="G52" s="36"/>
    </row>
    <row r="53" spans="1:7" ht="39" customHeight="1">
      <c r="A53" s="7"/>
      <c r="B53" s="11">
        <f t="shared" si="8"/>
        <v>75</v>
      </c>
      <c r="C53" s="8" t="s">
        <v>89</v>
      </c>
      <c r="D53" s="36"/>
      <c r="E53" s="38">
        <f t="shared" si="9"/>
        <v>115</v>
      </c>
      <c r="F53" s="8" t="s">
        <v>90</v>
      </c>
      <c r="G53" s="36"/>
    </row>
    <row r="54" spans="1:7" ht="36" customHeight="1">
      <c r="A54" s="7"/>
      <c r="B54" s="11">
        <f t="shared" si="8"/>
        <v>76</v>
      </c>
      <c r="C54" s="8" t="s">
        <v>91</v>
      </c>
      <c r="D54" s="36"/>
      <c r="E54" s="38">
        <f t="shared" si="9"/>
        <v>116</v>
      </c>
      <c r="F54" s="8" t="s">
        <v>92</v>
      </c>
      <c r="G54" s="36"/>
    </row>
    <row r="55" spans="1:7" ht="13.5" customHeight="1">
      <c r="A55" s="7"/>
      <c r="B55" s="11">
        <f t="shared" si="8"/>
        <v>77</v>
      </c>
      <c r="C55" s="8" t="s">
        <v>93</v>
      </c>
      <c r="D55" s="36"/>
      <c r="E55" s="38">
        <f t="shared" si="9"/>
        <v>117</v>
      </c>
      <c r="F55" s="8" t="s">
        <v>94</v>
      </c>
      <c r="G55" s="36"/>
    </row>
    <row r="56" spans="1:7" ht="27" customHeight="1">
      <c r="A56" s="7"/>
      <c r="B56" s="11">
        <f t="shared" si="8"/>
        <v>78</v>
      </c>
      <c r="C56" s="8" t="s">
        <v>95</v>
      </c>
      <c r="D56" s="36"/>
      <c r="E56" s="38">
        <f t="shared" si="9"/>
        <v>118</v>
      </c>
      <c r="F56" s="8" t="s">
        <v>96</v>
      </c>
      <c r="G56" s="36"/>
    </row>
    <row r="57" spans="1:7" ht="13.5" customHeight="1">
      <c r="A57" s="7"/>
      <c r="B57" s="14">
        <f>B56+1</f>
        <v>79</v>
      </c>
      <c r="C57" s="15" t="s">
        <v>97</v>
      </c>
      <c r="D57" s="26">
        <f>SUM(D49:D56)</f>
        <v>0</v>
      </c>
      <c r="E57" s="38">
        <f t="shared" si="9"/>
        <v>119</v>
      </c>
      <c r="F57" s="8" t="s">
        <v>98</v>
      </c>
      <c r="G57" s="36"/>
    </row>
    <row r="58" spans="1:7" ht="13.5" customHeight="1">
      <c r="A58" s="7"/>
      <c r="B58" s="78"/>
      <c r="C58" s="80"/>
      <c r="D58" s="74"/>
      <c r="E58" s="38">
        <f t="shared" si="9"/>
        <v>120</v>
      </c>
      <c r="F58" s="8" t="s">
        <v>99</v>
      </c>
      <c r="G58" s="36"/>
    </row>
    <row r="59" spans="1:7" ht="13.5" customHeight="1">
      <c r="A59" s="7"/>
      <c r="B59" s="4"/>
      <c r="C59" s="5" t="s">
        <v>100</v>
      </c>
      <c r="D59" s="6" t="s">
        <v>1</v>
      </c>
      <c r="E59" s="38">
        <f t="shared" si="9"/>
        <v>121</v>
      </c>
      <c r="F59" s="8" t="s">
        <v>101</v>
      </c>
      <c r="G59" s="36"/>
    </row>
    <row r="60" spans="1:7" ht="69.75" customHeight="1">
      <c r="A60" s="7"/>
      <c r="B60" s="71">
        <f>SUM(B57+1)</f>
        <v>80</v>
      </c>
      <c r="C60" s="18" t="s">
        <v>102</v>
      </c>
      <c r="D60" s="34"/>
      <c r="E60" s="38">
        <f t="shared" si="9"/>
        <v>122</v>
      </c>
      <c r="F60" s="8" t="s">
        <v>103</v>
      </c>
      <c r="G60" s="36"/>
    </row>
    <row r="61" spans="1:7" ht="24.75" customHeight="1">
      <c r="A61" s="7"/>
      <c r="B61" s="11">
        <f t="shared" ref="B61:B67" si="10">SUM(B60+1)</f>
        <v>81</v>
      </c>
      <c r="C61" s="8" t="s">
        <v>104</v>
      </c>
      <c r="D61" s="36"/>
      <c r="E61" s="38">
        <f t="shared" si="9"/>
        <v>123</v>
      </c>
      <c r="F61" s="8" t="s">
        <v>105</v>
      </c>
      <c r="G61" s="36"/>
    </row>
    <row r="62" spans="1:7" ht="26.25" customHeight="1">
      <c r="A62" s="7"/>
      <c r="B62" s="11">
        <f t="shared" si="10"/>
        <v>82</v>
      </c>
      <c r="C62" s="8" t="s">
        <v>106</v>
      </c>
      <c r="D62" s="36"/>
      <c r="E62" s="38">
        <f t="shared" si="9"/>
        <v>124</v>
      </c>
      <c r="F62" s="8" t="s">
        <v>107</v>
      </c>
      <c r="G62" s="36"/>
    </row>
    <row r="63" spans="1:7" ht="13.5" customHeight="1">
      <c r="A63" s="7"/>
      <c r="B63" s="11">
        <f t="shared" si="10"/>
        <v>83</v>
      </c>
      <c r="C63" s="8" t="s">
        <v>87</v>
      </c>
      <c r="D63" s="36"/>
      <c r="E63" s="38">
        <f t="shared" si="9"/>
        <v>125</v>
      </c>
      <c r="F63" s="8" t="s">
        <v>108</v>
      </c>
      <c r="G63" s="36"/>
    </row>
    <row r="64" spans="1:7" ht="13.5" customHeight="1">
      <c r="A64" s="7"/>
      <c r="B64" s="11">
        <f t="shared" si="10"/>
        <v>84</v>
      </c>
      <c r="C64" s="8" t="s">
        <v>89</v>
      </c>
      <c r="D64" s="36"/>
      <c r="E64" s="38">
        <f t="shared" si="9"/>
        <v>126</v>
      </c>
      <c r="F64" s="8" t="s">
        <v>109</v>
      </c>
      <c r="G64" s="36"/>
    </row>
    <row r="65" spans="1:7" ht="13.5" customHeight="1">
      <c r="A65" s="7"/>
      <c r="B65" s="11">
        <f t="shared" si="10"/>
        <v>85</v>
      </c>
      <c r="C65" s="8" t="s">
        <v>91</v>
      </c>
      <c r="D65" s="36"/>
      <c r="E65" s="38">
        <f t="shared" si="9"/>
        <v>127</v>
      </c>
      <c r="F65" s="8" t="s">
        <v>110</v>
      </c>
      <c r="G65" s="36"/>
    </row>
    <row r="66" spans="1:7" ht="13.5" customHeight="1">
      <c r="A66" s="7"/>
      <c r="B66" s="11">
        <f t="shared" si="10"/>
        <v>86</v>
      </c>
      <c r="C66" s="8" t="s">
        <v>93</v>
      </c>
      <c r="D66" s="36"/>
      <c r="E66" s="38">
        <f t="shared" si="9"/>
        <v>128</v>
      </c>
      <c r="F66" s="8" t="s">
        <v>111</v>
      </c>
      <c r="G66" s="36"/>
    </row>
    <row r="67" spans="1:7" ht="13.5" customHeight="1">
      <c r="A67" s="7"/>
      <c r="B67" s="11">
        <f t="shared" si="10"/>
        <v>87</v>
      </c>
      <c r="C67" s="8" t="s">
        <v>112</v>
      </c>
      <c r="D67" s="39"/>
      <c r="E67" s="38">
        <f t="shared" si="9"/>
        <v>129</v>
      </c>
      <c r="F67" s="40" t="s">
        <v>113</v>
      </c>
      <c r="G67" s="36"/>
    </row>
    <row r="68" spans="1:7" ht="13.5" customHeight="1">
      <c r="A68" s="7"/>
      <c r="B68" s="14">
        <f>B67+1</f>
        <v>88</v>
      </c>
      <c r="C68" s="15" t="s">
        <v>114</v>
      </c>
      <c r="D68" s="41">
        <f>SUM(D60:D67)</f>
        <v>0</v>
      </c>
      <c r="E68" s="42">
        <f t="shared" si="9"/>
        <v>130</v>
      </c>
      <c r="F68" s="43" t="s">
        <v>115</v>
      </c>
      <c r="G68" s="44"/>
    </row>
    <row r="69" spans="1:7" ht="13.5" customHeight="1">
      <c r="A69" s="7"/>
      <c r="B69" s="45"/>
      <c r="C69" s="46"/>
      <c r="D69" s="47"/>
      <c r="E69" s="11">
        <f t="shared" si="9"/>
        <v>131</v>
      </c>
      <c r="F69" s="8" t="s">
        <v>116</v>
      </c>
      <c r="G69" s="36"/>
    </row>
    <row r="70" spans="1:7" ht="49.5" customHeight="1">
      <c r="A70" s="7"/>
      <c r="B70" s="4"/>
      <c r="C70" s="5" t="s">
        <v>117</v>
      </c>
      <c r="D70" s="6" t="s">
        <v>1</v>
      </c>
      <c r="E70" s="11">
        <f t="shared" si="9"/>
        <v>132</v>
      </c>
      <c r="F70" s="8" t="s">
        <v>118</v>
      </c>
      <c r="G70" s="36"/>
    </row>
    <row r="71" spans="1:7" ht="27.75" customHeight="1">
      <c r="A71" s="7"/>
      <c r="B71" s="81">
        <f>SUM(B68+1)</f>
        <v>89</v>
      </c>
      <c r="C71" s="48" t="s">
        <v>119</v>
      </c>
      <c r="D71" s="34">
        <f t="shared" ref="D71:D76" si="11">D49-D60</f>
        <v>0</v>
      </c>
      <c r="E71" s="11">
        <f t="shared" si="9"/>
        <v>133</v>
      </c>
      <c r="F71" s="8" t="s">
        <v>120</v>
      </c>
      <c r="G71" s="36"/>
    </row>
    <row r="72" spans="1:7" ht="13.5" customHeight="1">
      <c r="A72" s="7"/>
      <c r="B72" s="49">
        <f t="shared" ref="B72:B78" si="12">SUM(B71+1)</f>
        <v>90</v>
      </c>
      <c r="C72" s="50" t="s">
        <v>121</v>
      </c>
      <c r="D72" s="36">
        <f t="shared" si="11"/>
        <v>0</v>
      </c>
      <c r="E72" s="11">
        <f t="shared" si="9"/>
        <v>134</v>
      </c>
      <c r="F72" s="8" t="s">
        <v>122</v>
      </c>
      <c r="G72" s="36"/>
    </row>
    <row r="73" spans="1:7" ht="13.5" customHeight="1">
      <c r="A73" s="7"/>
      <c r="B73" s="49">
        <f t="shared" si="12"/>
        <v>91</v>
      </c>
      <c r="C73" s="50" t="s">
        <v>85</v>
      </c>
      <c r="D73" s="36">
        <f t="shared" si="11"/>
        <v>0</v>
      </c>
      <c r="E73" s="11">
        <f t="shared" si="9"/>
        <v>135</v>
      </c>
      <c r="F73" s="8" t="s">
        <v>123</v>
      </c>
      <c r="G73" s="36"/>
    </row>
    <row r="74" spans="1:7" ht="20.25" customHeight="1">
      <c r="A74" s="7"/>
      <c r="B74" s="49">
        <f t="shared" si="12"/>
        <v>92</v>
      </c>
      <c r="C74" s="50" t="s">
        <v>87</v>
      </c>
      <c r="D74" s="36">
        <f t="shared" si="11"/>
        <v>0</v>
      </c>
      <c r="E74" s="11">
        <f t="shared" si="9"/>
        <v>136</v>
      </c>
      <c r="F74" s="8" t="s">
        <v>124</v>
      </c>
      <c r="G74" s="36"/>
    </row>
    <row r="75" spans="1:7" ht="13.5" customHeight="1">
      <c r="A75" s="7"/>
      <c r="B75" s="49">
        <f t="shared" si="12"/>
        <v>93</v>
      </c>
      <c r="C75" s="50" t="s">
        <v>89</v>
      </c>
      <c r="D75" s="36">
        <f t="shared" si="11"/>
        <v>0</v>
      </c>
      <c r="E75" s="11">
        <f t="shared" si="9"/>
        <v>137</v>
      </c>
      <c r="F75" s="8" t="s">
        <v>125</v>
      </c>
      <c r="G75" s="36"/>
    </row>
    <row r="76" spans="1:7" ht="13.5" customHeight="1">
      <c r="A76" s="7"/>
      <c r="B76" s="49">
        <f t="shared" si="12"/>
        <v>94</v>
      </c>
      <c r="C76" s="50" t="s">
        <v>91</v>
      </c>
      <c r="D76" s="36">
        <f t="shared" si="11"/>
        <v>0</v>
      </c>
      <c r="E76" s="11">
        <f t="shared" si="9"/>
        <v>138</v>
      </c>
      <c r="F76" s="8" t="s">
        <v>126</v>
      </c>
      <c r="G76" s="36"/>
    </row>
    <row r="77" spans="1:7" ht="13.5" customHeight="1">
      <c r="A77" s="7"/>
      <c r="B77" s="11">
        <f t="shared" si="12"/>
        <v>95</v>
      </c>
      <c r="C77" s="8" t="s">
        <v>127</v>
      </c>
      <c r="D77" s="36"/>
      <c r="E77" s="21">
        <f t="shared" si="9"/>
        <v>139</v>
      </c>
      <c r="F77" s="22" t="s">
        <v>128</v>
      </c>
      <c r="G77" s="23"/>
    </row>
    <row r="78" spans="1:7" ht="23.25" customHeight="1">
      <c r="A78" s="7"/>
      <c r="B78" s="49">
        <f t="shared" si="12"/>
        <v>96</v>
      </c>
      <c r="C78" s="50" t="s">
        <v>129</v>
      </c>
      <c r="D78" s="36">
        <f>D56-D67</f>
        <v>0</v>
      </c>
      <c r="E78" s="51">
        <f t="shared" si="9"/>
        <v>140</v>
      </c>
      <c r="F78" s="52" t="s">
        <v>130</v>
      </c>
      <c r="G78" s="17"/>
    </row>
    <row r="79" spans="1:7" ht="15.75" customHeight="1">
      <c r="A79" s="7"/>
      <c r="B79" s="14">
        <f>B78+1</f>
        <v>97</v>
      </c>
      <c r="C79" s="15" t="s">
        <v>131</v>
      </c>
      <c r="D79" s="26">
        <f>SUM(D71:D78)</f>
        <v>0</v>
      </c>
      <c r="E79" s="53">
        <f t="shared" si="9"/>
        <v>141</v>
      </c>
      <c r="F79" s="8" t="s">
        <v>132</v>
      </c>
      <c r="G79" s="9"/>
    </row>
    <row r="80" spans="1:7" ht="13.5" customHeight="1">
      <c r="A80" s="7"/>
      <c r="B80" s="78"/>
      <c r="C80" s="80"/>
      <c r="D80" s="74"/>
      <c r="E80" s="53">
        <f t="shared" si="9"/>
        <v>142</v>
      </c>
      <c r="F80" s="8" t="s">
        <v>133</v>
      </c>
      <c r="G80" s="9"/>
    </row>
    <row r="81" spans="1:7" ht="26.25" customHeight="1">
      <c r="A81" s="7"/>
      <c r="B81" s="4"/>
      <c r="C81" s="5" t="s">
        <v>134</v>
      </c>
      <c r="D81" s="6" t="s">
        <v>1</v>
      </c>
      <c r="E81" s="53">
        <f t="shared" si="9"/>
        <v>143</v>
      </c>
      <c r="F81" s="8" t="s">
        <v>135</v>
      </c>
      <c r="G81" s="9"/>
    </row>
    <row r="82" spans="1:7" ht="13.5" customHeight="1">
      <c r="A82" s="7"/>
      <c r="B82" s="71">
        <f>SUM(B79+1)</f>
        <v>98</v>
      </c>
      <c r="C82" s="18" t="s">
        <v>136</v>
      </c>
      <c r="D82" s="34"/>
      <c r="E82" s="53">
        <f t="shared" si="9"/>
        <v>144</v>
      </c>
      <c r="F82" s="8" t="s">
        <v>137</v>
      </c>
      <c r="G82" s="9"/>
    </row>
    <row r="83" spans="1:7" ht="13.5" customHeight="1">
      <c r="A83" s="7"/>
      <c r="B83" s="11">
        <f t="shared" ref="B83:B86" si="13">SUM(B82+1)</f>
        <v>99</v>
      </c>
      <c r="C83" s="8" t="s">
        <v>138</v>
      </c>
      <c r="D83" s="36"/>
      <c r="E83" s="53">
        <f t="shared" si="9"/>
        <v>145</v>
      </c>
      <c r="F83" s="8" t="s">
        <v>139</v>
      </c>
      <c r="G83" s="9"/>
    </row>
    <row r="84" spans="1:7" ht="13.5" customHeight="1">
      <c r="A84" s="7"/>
      <c r="B84" s="11">
        <f t="shared" si="13"/>
        <v>100</v>
      </c>
      <c r="C84" s="8" t="s">
        <v>140</v>
      </c>
      <c r="D84" s="36"/>
      <c r="E84" s="53">
        <f t="shared" si="9"/>
        <v>146</v>
      </c>
      <c r="F84" s="8" t="s">
        <v>141</v>
      </c>
      <c r="G84" s="9"/>
    </row>
    <row r="85" spans="1:7" ht="13.5" customHeight="1">
      <c r="A85" s="7"/>
      <c r="B85" s="11">
        <f t="shared" si="13"/>
        <v>101</v>
      </c>
      <c r="C85" s="8" t="s">
        <v>142</v>
      </c>
      <c r="D85" s="36"/>
      <c r="E85" s="53">
        <f t="shared" si="9"/>
        <v>147</v>
      </c>
      <c r="F85" s="8" t="s">
        <v>143</v>
      </c>
      <c r="G85" s="9"/>
    </row>
    <row r="86" spans="1:7" ht="33" customHeight="1">
      <c r="A86" s="7"/>
      <c r="B86" s="11">
        <f t="shared" si="13"/>
        <v>102</v>
      </c>
      <c r="C86" s="8" t="s">
        <v>144</v>
      </c>
      <c r="D86" s="36"/>
      <c r="E86" s="71">
        <f t="shared" si="9"/>
        <v>148</v>
      </c>
      <c r="F86" s="8" t="s">
        <v>145</v>
      </c>
      <c r="G86" s="82"/>
    </row>
    <row r="87" spans="1:7" ht="36" customHeight="1">
      <c r="A87" s="7"/>
      <c r="B87" s="14">
        <f>B86+1</f>
        <v>103</v>
      </c>
      <c r="C87" s="15" t="s">
        <v>146</v>
      </c>
      <c r="D87" s="26">
        <f>SUM(D82:D86)</f>
        <v>0</v>
      </c>
      <c r="E87" s="53">
        <f t="shared" si="9"/>
        <v>149</v>
      </c>
      <c r="F87" s="8" t="s">
        <v>147</v>
      </c>
      <c r="G87" s="54"/>
    </row>
    <row r="88" spans="1:7" ht="16.5" customHeight="1">
      <c r="A88" s="7"/>
      <c r="B88" s="27"/>
      <c r="C88" s="74"/>
      <c r="D88" s="74"/>
      <c r="E88" s="14">
        <f t="shared" si="9"/>
        <v>150</v>
      </c>
      <c r="F88" s="15" t="s">
        <v>148</v>
      </c>
      <c r="G88" s="55">
        <f>SUM(G49:G87)+D95+D96+D97+D98</f>
        <v>0</v>
      </c>
    </row>
    <row r="89" spans="1:7" ht="13.5" customHeight="1">
      <c r="A89" s="7"/>
      <c r="B89" s="4"/>
      <c r="C89" s="5" t="s">
        <v>149</v>
      </c>
      <c r="D89" s="6" t="s">
        <v>1</v>
      </c>
      <c r="E89" s="56"/>
      <c r="F89" s="80"/>
      <c r="G89" s="35"/>
    </row>
    <row r="90" spans="1:7" ht="13.5" customHeight="1">
      <c r="A90" s="7"/>
      <c r="B90" s="57">
        <f>SUM(B87+1)</f>
        <v>104</v>
      </c>
      <c r="C90" s="18" t="s">
        <v>150</v>
      </c>
      <c r="D90" s="34"/>
      <c r="E90" s="4"/>
      <c r="F90" s="5" t="s">
        <v>151</v>
      </c>
      <c r="G90" s="6" t="s">
        <v>1</v>
      </c>
    </row>
    <row r="91" spans="1:7" ht="13.5" customHeight="1">
      <c r="A91" s="7"/>
      <c r="B91" s="11">
        <f t="shared" ref="B91:B92" si="14">SUM(B90+1)</f>
        <v>105</v>
      </c>
      <c r="C91" s="8" t="s">
        <v>152</v>
      </c>
      <c r="D91" s="36"/>
      <c r="E91" s="58">
        <f>E88+1</f>
        <v>151</v>
      </c>
      <c r="F91" s="59" t="s">
        <v>97</v>
      </c>
      <c r="G91" s="60">
        <f>D57</f>
        <v>0</v>
      </c>
    </row>
    <row r="92" spans="1:7" ht="13.5" customHeight="1">
      <c r="A92" s="7"/>
      <c r="B92" s="14">
        <f t="shared" si="14"/>
        <v>106</v>
      </c>
      <c r="C92" s="15" t="s">
        <v>153</v>
      </c>
      <c r="D92" s="26">
        <f>SUM(D90:D91)</f>
        <v>0</v>
      </c>
      <c r="E92" s="58">
        <f>E91+1</f>
        <v>152</v>
      </c>
      <c r="F92" s="61" t="s">
        <v>114</v>
      </c>
      <c r="G92" s="62">
        <f>D68</f>
        <v>0</v>
      </c>
    </row>
    <row r="93" spans="1:7" ht="13.5" customHeight="1">
      <c r="A93" s="7"/>
      <c r="B93" s="27"/>
      <c r="C93" s="75"/>
      <c r="D93" s="47"/>
      <c r="E93" s="58">
        <f>SUM(E92+1)</f>
        <v>153</v>
      </c>
      <c r="F93" s="61" t="s">
        <v>131</v>
      </c>
      <c r="G93" s="62">
        <f>D57-D68</f>
        <v>0</v>
      </c>
    </row>
    <row r="94" spans="1:7" ht="15" customHeight="1">
      <c r="A94" s="7"/>
      <c r="B94" s="4"/>
      <c r="C94" s="5" t="s">
        <v>154</v>
      </c>
      <c r="D94" s="6" t="s">
        <v>1</v>
      </c>
      <c r="E94" s="71">
        <f>E93+1</f>
        <v>154</v>
      </c>
      <c r="F94" s="63" t="s">
        <v>155</v>
      </c>
      <c r="G94" s="64"/>
    </row>
    <row r="95" spans="1:7" ht="13.5" customHeight="1">
      <c r="A95" s="7"/>
      <c r="B95" s="11">
        <v>107</v>
      </c>
      <c r="C95" s="18" t="s">
        <v>156</v>
      </c>
      <c r="D95" s="65"/>
      <c r="E95" s="58">
        <f t="shared" ref="E95:E98" si="15">SUM(E94+1)</f>
        <v>155</v>
      </c>
      <c r="F95" s="61" t="s">
        <v>148</v>
      </c>
      <c r="G95" s="62">
        <f>G88</f>
        <v>0</v>
      </c>
    </row>
    <row r="96" spans="1:7" ht="13.5" customHeight="1">
      <c r="A96" s="7"/>
      <c r="B96" s="11">
        <f t="shared" ref="B96:B98" si="16">SUM(B95+1)</f>
        <v>108</v>
      </c>
      <c r="C96" s="8" t="s">
        <v>157</v>
      </c>
      <c r="D96" s="9"/>
      <c r="E96" s="83">
        <f t="shared" si="15"/>
        <v>156</v>
      </c>
      <c r="F96" s="66" t="s">
        <v>158</v>
      </c>
      <c r="G96" s="19">
        <f>(G93-(G94+G95))</f>
        <v>0</v>
      </c>
    </row>
    <row r="97" spans="1:7" ht="13.5" customHeight="1">
      <c r="A97" s="7"/>
      <c r="B97" s="11">
        <f t="shared" si="16"/>
        <v>109</v>
      </c>
      <c r="C97" s="8" t="s">
        <v>159</v>
      </c>
      <c r="D97" s="9"/>
      <c r="E97" s="67">
        <f t="shared" si="15"/>
        <v>157</v>
      </c>
      <c r="F97" s="50" t="s">
        <v>160</v>
      </c>
      <c r="G97" s="36">
        <f>D87-D92</f>
        <v>0</v>
      </c>
    </row>
    <row r="98" spans="1:7" ht="13.5" customHeight="1">
      <c r="A98" s="7"/>
      <c r="B98" s="21">
        <f t="shared" si="16"/>
        <v>110</v>
      </c>
      <c r="C98" s="22" t="s">
        <v>161</v>
      </c>
      <c r="D98" s="68"/>
      <c r="E98" s="69">
        <f t="shared" si="15"/>
        <v>158</v>
      </c>
      <c r="F98" s="70" t="s">
        <v>162</v>
      </c>
      <c r="G98" s="26">
        <f>G97+G96</f>
        <v>0</v>
      </c>
    </row>
    <row r="99" spans="1:7" ht="15.75" customHeight="1"/>
    <row r="100" spans="1:7" ht="15.75" customHeight="1"/>
    <row r="101" spans="1:7" ht="15.75" customHeight="1"/>
    <row r="102" spans="1:7" ht="15.75" customHeight="1"/>
    <row r="103" spans="1:7" ht="15.75" customHeight="1"/>
    <row r="104" spans="1:7" ht="15.75" customHeight="1"/>
    <row r="105" spans="1:7" ht="15.75" customHeight="1"/>
    <row r="106" spans="1:7" ht="15.75" customHeight="1"/>
    <row r="107" spans="1:7" ht="15.75" customHeight="1"/>
    <row r="108" spans="1:7" ht="15.75" customHeight="1"/>
    <row r="109" spans="1:7" ht="15.75" customHeight="1"/>
    <row r="110" spans="1:7" ht="15.75" customHeight="1"/>
    <row r="111" spans="1:7" ht="15.75" customHeight="1"/>
    <row r="112" spans="1:7"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25" right="0" top="0.75" bottom="0.75" header="0" footer="0"/>
  <pageSetup fitToHeight="0" orientation="portrait"/>
  <headerFooter>
    <oddHeader>&amp;CINSTITUTE COMPOSITE REPORTING WORKSHEET</oddHeader>
    <oddFooter>&amp;LCopyright 2011, The Institute for Automotive Business Excellence, All Rights Reserved&amp;RPage &amp;P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Composite 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Jenkins III</cp:lastModifiedBy>
  <cp:revision/>
  <dcterms:created xsi:type="dcterms:W3CDTF">2025-12-29T07:58:12Z</dcterms:created>
  <dcterms:modified xsi:type="dcterms:W3CDTF">2026-02-15T01:50:32Z</dcterms:modified>
  <cp:category/>
  <cp:contentStatus/>
</cp:coreProperties>
</file>